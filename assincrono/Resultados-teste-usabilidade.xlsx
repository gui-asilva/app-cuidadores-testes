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Listas" sheetId="3" state="hidden" r:id="rId3"/>
    <sheet xmlns:r="http://schemas.openxmlformats.org/officeDocument/2006/relationships" name="Participantes família" sheetId="4" state="visible" r:id="rId4"/>
    <sheet xmlns:r="http://schemas.openxmlformats.org/officeDocument/2006/relationships" name="Participantes cuidadoras" sheetId="5" state="visible" r:id="rId5"/>
    <sheet xmlns:r="http://schemas.openxmlformats.org/officeDocument/2006/relationships" name="Tarefas família" sheetId="6" state="visible" r:id="rId6"/>
    <sheet xmlns:r="http://schemas.openxmlformats.org/officeDocument/2006/relationships" name="Tarefas cuidadoras" sheetId="7" state="visible" r:id="rId7"/>
    <sheet xmlns:r="http://schemas.openxmlformats.org/officeDocument/2006/relationships" name="Final" sheetId="8" state="visible" r:id="rId8"/>
    <sheet xmlns:r="http://schemas.openxmlformats.org/officeDocument/2006/relationships" name="Problem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color rgb="004A5A68"/>
      <sz val="10"/>
    </font>
    <font>
      <name val="Arial"/>
      <b val="1"/>
      <color rgb="00FFFFFF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E5ECFD"/>
      </patternFill>
    </fill>
    <fill>
      <patternFill patternType="solid">
        <fgColor rgb="001D4ED8"/>
      </patternFill>
    </fill>
    <fill>
      <patternFill patternType="solid">
        <fgColor rgb="00FFF2CC"/>
      </patternFill>
    </fill>
  </fills>
  <borders count="10">
    <border>
      <left/>
      <right/>
      <top/>
      <bottom/>
      <diagonal/>
    </border>
    <border>
      <left style="thin">
        <color rgb="00C8D0D8"/>
      </left>
      <right style="thin">
        <color rgb="00C8D0D8"/>
      </right>
      <top style="thin">
        <color rgb="00C8D0D8"/>
      </top>
      <bottom style="thin">
        <color rgb="00C8D0D8"/>
      </bottom>
    </border>
    <border>
      <left style="medium">
        <color rgb="001D4ED8"/>
      </left>
      <right style="thin">
        <color rgb="00C8D0D8"/>
      </right>
      <top style="medium">
        <color rgb="001D4ED8"/>
      </top>
      <bottom style="thin">
        <color rgb="00C8D0D8"/>
      </bottom>
    </border>
    <border>
      <left style="thin">
        <color rgb="00C8D0D8"/>
      </left>
      <right style="thin">
        <color rgb="00C8D0D8"/>
      </right>
      <top style="medium">
        <color rgb="001D4ED8"/>
      </top>
      <bottom style="thin">
        <color rgb="00C8D0D8"/>
      </bottom>
    </border>
    <border>
      <left style="thin">
        <color rgb="00C8D0D8"/>
      </left>
      <right style="medium">
        <color rgb="001D4ED8"/>
      </right>
      <top style="medium">
        <color rgb="001D4ED8"/>
      </top>
      <bottom style="thin">
        <color rgb="00C8D0D8"/>
      </bottom>
    </border>
    <border>
      <left style="medium">
        <color rgb="001D4ED8"/>
      </left>
      <right style="thin">
        <color rgb="00C8D0D8"/>
      </right>
      <top style="thin">
        <color rgb="00C8D0D8"/>
      </top>
      <bottom style="thin">
        <color rgb="00C8D0D8"/>
      </bottom>
    </border>
    <border>
      <left style="thin">
        <color rgb="00C8D0D8"/>
      </left>
      <right style="medium">
        <color rgb="001D4ED8"/>
      </right>
      <top style="thin">
        <color rgb="00C8D0D8"/>
      </top>
      <bottom style="thin">
        <color rgb="00C8D0D8"/>
      </bottom>
    </border>
    <border>
      <left style="medium">
        <color rgb="001D4ED8"/>
      </left>
      <right style="thin">
        <color rgb="00C8D0D8"/>
      </right>
      <top style="thin">
        <color rgb="00C8D0D8"/>
      </top>
      <bottom style="medium">
        <color rgb="001D4ED8"/>
      </bottom>
    </border>
    <border>
      <left style="thin">
        <color rgb="00C8D0D8"/>
      </left>
      <right style="thin">
        <color rgb="00C8D0D8"/>
      </right>
      <top style="thin">
        <color rgb="00C8D0D8"/>
      </top>
      <bottom style="medium">
        <color rgb="001D4ED8"/>
      </bottom>
    </border>
    <border>
      <left style="thin">
        <color rgb="00C8D0D8"/>
      </left>
      <right style="medium">
        <color rgb="001D4ED8"/>
      </right>
      <top style="thin">
        <color rgb="00C8D0D8"/>
      </top>
      <bottom style="medium">
        <color rgb="001D4ED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6" fillId="0" borderId="0" pivotButton="0" quotePrefix="0" xfId="0"/>
    <xf numFmtId="0" fontId="5" fillId="3" borderId="1" applyAlignment="1" pivotButton="0" quotePrefix="0" xfId="0">
      <alignment vertical="center" wrapText="1"/>
    </xf>
    <xf numFmtId="0" fontId="3" fillId="0" borderId="1" pivotButton="0" quotePrefix="0" xfId="0"/>
    <xf numFmtId="9" fontId="3" fillId="0" borderId="1" pivotButton="0" quotePrefix="0" xfId="0"/>
    <xf numFmtId="1" fontId="3" fillId="0" borderId="1" pivotButton="0" quotePrefix="0" xfId="0"/>
    <xf numFmtId="165" fontId="3" fillId="0" borderId="1" pivotButton="0" quotePrefix="0" xfId="0"/>
    <xf numFmtId="0" fontId="3" fillId="0" borderId="0" pivotButton="0" quotePrefix="0" xfId="0"/>
    <xf numFmtId="0" fontId="3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4" borderId="4" applyAlignment="1" pivotButton="0" quotePrefix="0" xfId="0">
      <alignment vertical="top" wrapText="1"/>
    </xf>
    <xf numFmtId="0" fontId="3" fillId="4" borderId="5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6" applyAlignment="1" pivotButton="0" quotePrefix="0" xfId="0">
      <alignment vertical="top" wrapText="1"/>
    </xf>
    <xf numFmtId="0" fontId="3" fillId="4" borderId="7" applyAlignment="1" pivotButton="0" quotePrefix="0" xfId="0">
      <alignment vertical="top" wrapText="1"/>
    </xf>
    <xf numFmtId="0" fontId="3" fillId="4" borderId="8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4" borderId="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Resultados do teste de usabilidade · App de Cuidadores</t>
        </is>
      </c>
    </row>
    <row r="3" ht="30" customHeight="1">
      <c r="A3" s="2" t="inlineStr">
        <is>
          <t>Células amarelas</t>
        </is>
      </c>
      <c r="B3" s="3" t="inlineStr">
        <is>
          <t>São as que você preenche. As brancas têm fórmulas e se calculam sozinhas.</t>
        </is>
      </c>
    </row>
    <row r="4" ht="30" customHeight="1">
      <c r="A4" s="2" t="inlineStr">
        <is>
          <t>Participantes</t>
        </is>
      </c>
      <c r="B4" s="3" t="inlineStr">
        <is>
          <t>Uma linha por pessoa. IDs: F1–F4 para a família, CU1–CU3 para cuidadoras (para não confundir com as tarefas C1–C9). Respostas das perguntas do início do roteiro, incluindo as de internet e sinal.</t>
        </is>
      </c>
    </row>
    <row r="5" ht="30" customHeight="1">
      <c r="A5" s="2" t="inlineStr">
        <is>
          <t>Internet</t>
        </is>
      </c>
      <c r="B5" s="3" t="inlineStr">
        <is>
          <t>As respostas sobre wi-fi, sinal e dados móveis alimentam o bloco "Conexão" no Resumo: quantas pessoas têm sinal fraco ou ficam sem dados. Ajuda a decidir a prioridade do modo sem internet.</t>
        </is>
      </c>
    </row>
    <row r="6" ht="30" customHeight="1">
      <c r="A6" s="2" t="inlineStr">
        <is>
          <t>Tarefas família / cuidadoras</t>
        </is>
      </c>
      <c r="B6" s="3" t="inlineStr">
        <is>
          <t>Já vêm com uma linha por pessoa e tarefa. Preencha tempo, resultado, facilidade e o que observou. Se testar mais gente, copie as linhas e troque o ID.</t>
        </is>
      </c>
    </row>
    <row r="7" ht="30" customHeight="1">
      <c r="A7" s="2" t="inlineStr">
        <is>
          <t>Tempo</t>
        </is>
      </c>
      <c r="B7" s="3" t="inlineStr">
        <is>
          <t>Minutos e segundos em colunas separadas. Na tarefa 9 (emergência), anote o tempo até tocar em ligar. Limite de 10 minutos por tarefa: passou disso, marque Não conseguiu.</t>
        </is>
      </c>
    </row>
    <row r="8" ht="30" customHeight="1">
      <c r="A8" s="2" t="inlineStr">
        <is>
          <t>Ordem</t>
        </is>
      </c>
      <c r="B8" s="3" t="inlineStr">
        <is>
          <t>A ordem das tarefas muda a cada pessoa (a 1 da família e as C1 e C2 das cuidadoras ficam sempre no começo). Anote na última coluna das abas de tarefas em que posição cada uma foi feita.</t>
        </is>
      </c>
    </row>
    <row r="9" ht="30" customHeight="1">
      <c r="A9" s="2" t="inlineStr">
        <is>
          <t>Resultado</t>
        </is>
      </c>
      <c r="B9" s="3" t="inlineStr">
        <is>
          <t>Escolha na lista: Sozinha, Com dica ou Não conseguiu.</t>
        </is>
      </c>
    </row>
    <row r="10" ht="30" customHeight="1">
      <c r="A10" s="2" t="inlineStr">
        <is>
          <t>Problemas</t>
        </is>
      </c>
      <c r="B10" s="3" t="inlineStr">
        <is>
          <t>Junte aqui cada problema encontrado, uma linha por problema. A coluna Prioridade se calcula: problema do app visto por 2 ou mais pessoas = Corrigir primeiro.</t>
        </is>
      </c>
    </row>
    <row r="11" ht="30" customHeight="1">
      <c r="A11" s="2" t="inlineStr">
        <is>
          <t>Final</t>
        </is>
      </c>
      <c r="B11" s="3" t="inlineStr">
        <is>
          <t>Respostas das perguntas do fim do roteiro e a nota de 0 a 10.</t>
        </is>
      </c>
    </row>
    <row r="12" ht="30" customHeight="1">
      <c r="A12" s="2" t="inlineStr">
        <is>
          <t>Teste assíncrono</t>
        </is>
      </c>
      <c r="B12" s="3" t="inlineStr">
        <is>
          <t>As respostas do teste sem condutor entram sozinhas: importe esta planilha para a planilha de respostas do Formulário Google e use o menu Cantinho → Atualizar resultados (veja o LEIA-ME). Os IDs ficam FA1, FA2… (família) e CUA1, CUA2… (cuidadoras), e "Quem conduziu" mostra Assíncrono.</t>
        </is>
      </c>
    </row>
    <row r="13" ht="30" customHeight="1">
      <c r="A13" s="2" t="inlineStr">
        <is>
          <t>Resumo</t>
        </is>
      </c>
      <c r="B13" s="3" t="inlineStr">
        <is>
          <t>Calcula sozinho: quantas pessoas fizeram cada tarefa, % que conseguiu sozinha, tempo médio, facilidade média e a nota de recomendação (NPS).</t>
        </is>
      </c>
    </row>
    <row r="14" ht="30" customHeight="1">
      <c r="A14" s="2" t="inlineStr">
        <is>
          <t>Privacidade</t>
        </is>
      </c>
      <c r="B14" s="3" t="inlineStr">
        <is>
          <t>Não escreva dados de saúde reais das pessoas que participam. Use só os IDs nos relatórios.</t>
        </is>
      </c>
    </row>
    <row r="16">
      <c r="A16" s="2" t="inlineStr">
        <is>
          <t>Exemplo de linha preenchida (aba Tarefas família)</t>
        </is>
      </c>
    </row>
    <row r="17">
      <c r="A17" s="4" t="inlineStr">
        <is>
          <t>ID</t>
        </is>
      </c>
      <c r="B17" s="4" t="inlineStr">
        <is>
          <t>Tarefa</t>
        </is>
      </c>
      <c r="C17" s="4" t="inlineStr">
        <is>
          <t>Minutos</t>
        </is>
      </c>
      <c r="D17" s="4" t="inlineStr">
        <is>
          <t>Segundos</t>
        </is>
      </c>
      <c r="E17" s="4" t="inlineStr">
        <is>
          <t>Resultado</t>
        </is>
      </c>
      <c r="F17" s="4" t="inlineStr">
        <is>
          <t>Facilidade</t>
        </is>
      </c>
      <c r="G17" s="4" t="inlineStr">
        <is>
          <t>Onde travou ou tocou</t>
        </is>
      </c>
      <c r="H17" s="4" t="inlineStr">
        <is>
          <t>Palavras que usou</t>
        </is>
      </c>
      <c r="I17" s="4" t="inlineStr">
        <is>
          <t>Problema observado</t>
        </is>
      </c>
      <c r="J17" s="4" t="inlineStr">
        <is>
          <t>Tipo</t>
        </is>
      </c>
      <c r="K17" s="4" t="inlineStr">
        <is>
          <t>Gravidade</t>
        </is>
      </c>
    </row>
    <row r="18" ht="45" customHeight="1">
      <c r="A18" s="5" t="inlineStr">
        <is>
          <t>F2</t>
        </is>
      </c>
      <c r="B18" s="5" t="n">
        <v>7</v>
      </c>
      <c r="C18" s="5" t="n">
        <v>2</v>
      </c>
      <c r="D18" s="5" t="n">
        <v>40</v>
      </c>
      <c r="E18" s="5" t="inlineStr">
        <is>
          <t>Com dica</t>
        </is>
      </c>
      <c r="F18" s="5" t="n">
        <v>2</v>
      </c>
      <c r="G18" s="5" t="inlineStr">
        <is>
          <t>Procurou na aba Rede antes de tocar no "com você"</t>
        </is>
      </c>
      <c r="H18" s="5" t="inlineStr">
        <is>
          <t>"Trocar de turno"</t>
        </is>
      </c>
      <c r="I18" s="5" t="inlineStr">
        <is>
          <t>Não viu que o "com você" no topo é um botão</t>
        </is>
      </c>
      <c r="J18" s="5" t="inlineStr">
        <is>
          <t>App</t>
        </is>
      </c>
      <c r="K18" s="5" t="inlineStr">
        <is>
          <t>Alta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1" customWidth="1" min="4" max="4"/>
    <col width="11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Resumo por tarefa</t>
        </is>
      </c>
    </row>
    <row r="2">
      <c r="A2" s="6" t="inlineStr">
        <is>
          <t>Tudo aqui se calcula a partir das abas de tarefas e da aba Final. Não precisa preencher.</t>
        </is>
      </c>
    </row>
    <row r="4">
      <c r="A4" s="7" t="inlineStr">
        <is>
          <t>Família</t>
        </is>
      </c>
    </row>
    <row r="5" ht="42" customHeight="1">
      <c r="A5" s="8" t="inlineStr">
        <is>
          <t>Tarefa</t>
        </is>
      </c>
      <c r="B5" s="8" t="inlineStr">
        <is>
          <t>Nome</t>
        </is>
      </c>
      <c r="C5" s="8" t="inlineStr">
        <is>
          <t>Pessoas</t>
        </is>
      </c>
      <c r="D5" s="8" t="inlineStr">
        <is>
          <t>% sozinha</t>
        </is>
      </c>
      <c r="E5" s="8" t="inlineStr">
        <is>
          <t>% com dica</t>
        </is>
      </c>
      <c r="F5" s="8" t="inlineStr">
        <is>
          <t>% não conseguiu</t>
        </is>
      </c>
      <c r="G5" s="8" t="inlineStr">
        <is>
          <t>Tempo médio (s)</t>
        </is>
      </c>
      <c r="H5" s="8" t="inlineStr">
        <is>
          <t>Facilidade média</t>
        </is>
      </c>
    </row>
    <row r="6">
      <c r="A6" s="9" t="n">
        <v>1</v>
      </c>
      <c r="B6" s="9" t="inlineStr">
        <is>
          <t>Comece a usar o app</t>
        </is>
      </c>
      <c r="C6" s="9">
        <f>COUNTIFS('Tarefas família'!$B$5:$B$804,A6,'Tarefas família'!$G$5:$G$804,"&lt;&gt;")</f>
        <v/>
      </c>
      <c r="D6" s="10">
        <f>IF(C6=0,"-",COUNTIFS('Tarefas família'!$B$5:$B$804,A6,'Tarefas família'!$G$5:$G$804,"Sozinha")/C6)</f>
        <v/>
      </c>
      <c r="E6" s="10">
        <f>IF(C6=0,"-",COUNTIFS('Tarefas família'!$B$5:$B$804,A6,'Tarefas família'!$G$5:$G$804,"Com dica")/C6)</f>
        <v/>
      </c>
      <c r="F6" s="10">
        <f>IF(C6=0,"-",COUNTIFS('Tarefas família'!$B$5:$B$804,A6,'Tarefas família'!$G$5:$G$804,"Não conseguiu")/C6)</f>
        <v/>
      </c>
      <c r="G6" s="11">
        <f>IF(COUNTIFS('Tarefas família'!$B$5:$B$804,A6,'Tarefas família'!$F$5:$F$804,"&gt;0")=0,"-",AVERAGEIFS('Tarefas família'!$F$5:$F$804,'Tarefas família'!$B$5:$B$804,A6,'Tarefas família'!$F$5:$F$804,"&gt;0"))</f>
        <v/>
      </c>
      <c r="H6" s="12">
        <f>IF(COUNTIFS('Tarefas família'!$B$5:$B$804,A6,'Tarefas família'!$H$5:$H$804,"&gt;0")=0,"-",AVERAGEIFS('Tarefas família'!$H$5:$H$804,'Tarefas família'!$B$5:$B$804,A6,'Tarefas família'!$H$5:$H$804,"&gt;0"))</f>
        <v/>
      </c>
    </row>
    <row r="7">
      <c r="A7" s="9" t="n">
        <v>2</v>
      </c>
      <c r="B7" s="9" t="inlineStr">
        <is>
          <t>Um remédio novo</t>
        </is>
      </c>
      <c r="C7" s="9">
        <f>COUNTIFS('Tarefas família'!$B$5:$B$804,A7,'Tarefas família'!$G$5:$G$804,"&lt;&gt;")</f>
        <v/>
      </c>
      <c r="D7" s="10">
        <f>IF(C7=0,"-",COUNTIFS('Tarefas família'!$B$5:$B$804,A7,'Tarefas família'!$G$5:$G$804,"Sozinha")/C7)</f>
        <v/>
      </c>
      <c r="E7" s="10">
        <f>IF(C7=0,"-",COUNTIFS('Tarefas família'!$B$5:$B$804,A7,'Tarefas família'!$G$5:$G$804,"Com dica")/C7)</f>
        <v/>
      </c>
      <c r="F7" s="10">
        <f>IF(C7=0,"-",COUNTIFS('Tarefas família'!$B$5:$B$804,A7,'Tarefas família'!$G$5:$G$804,"Não conseguiu")/C7)</f>
        <v/>
      </c>
      <c r="G7" s="11">
        <f>IF(COUNTIFS('Tarefas família'!$B$5:$B$804,A7,'Tarefas família'!$F$5:$F$804,"&gt;0")=0,"-",AVERAGEIFS('Tarefas família'!$F$5:$F$804,'Tarefas família'!$B$5:$B$804,A7,'Tarefas família'!$F$5:$F$804,"&gt;0"))</f>
        <v/>
      </c>
      <c r="H7" s="12">
        <f>IF(COUNTIFS('Tarefas família'!$B$5:$B$804,A7,'Tarefas família'!$H$5:$H$804,"&gt;0")=0,"-",AVERAGEIFS('Tarefas família'!$H$5:$H$804,'Tarefas família'!$B$5:$B$804,A7,'Tarefas família'!$H$5:$H$804,"&gt;0"))</f>
        <v/>
      </c>
    </row>
    <row r="8">
      <c r="A8" s="9" t="n">
        <v>3</v>
      </c>
      <c r="B8" s="9" t="inlineStr">
        <is>
          <t>Hora do almoço</t>
        </is>
      </c>
      <c r="C8" s="9">
        <f>COUNTIFS('Tarefas família'!$B$5:$B$804,A8,'Tarefas família'!$G$5:$G$804,"&lt;&gt;")</f>
        <v/>
      </c>
      <c r="D8" s="10">
        <f>IF(C8=0,"-",COUNTIFS('Tarefas família'!$B$5:$B$804,A8,'Tarefas família'!$G$5:$G$804,"Sozinha")/C8)</f>
        <v/>
      </c>
      <c r="E8" s="10">
        <f>IF(C8=0,"-",COUNTIFS('Tarefas família'!$B$5:$B$804,A8,'Tarefas família'!$G$5:$G$804,"Com dica")/C8)</f>
        <v/>
      </c>
      <c r="F8" s="10">
        <f>IF(C8=0,"-",COUNTIFS('Tarefas família'!$B$5:$B$804,A8,'Tarefas família'!$G$5:$G$804,"Não conseguiu")/C8)</f>
        <v/>
      </c>
      <c r="G8" s="11">
        <f>IF(COUNTIFS('Tarefas família'!$B$5:$B$804,A8,'Tarefas família'!$F$5:$F$804,"&gt;0")=0,"-",AVERAGEIFS('Tarefas família'!$F$5:$F$804,'Tarefas família'!$B$5:$B$804,A8,'Tarefas família'!$F$5:$F$804,"&gt;0"))</f>
        <v/>
      </c>
      <c r="H8" s="12">
        <f>IF(COUNTIFS('Tarefas família'!$B$5:$B$804,A8,'Tarefas família'!$H$5:$H$804,"&gt;0")=0,"-",AVERAGEIFS('Tarefas família'!$H$5:$H$804,'Tarefas família'!$B$5:$B$804,A8,'Tarefas família'!$H$5:$H$804,"&gt;0"))</f>
        <v/>
      </c>
    </row>
    <row r="9">
      <c r="A9" s="9" t="n">
        <v>4</v>
      </c>
      <c r="B9" s="9" t="inlineStr">
        <is>
          <t>Ele não quis tomar</t>
        </is>
      </c>
      <c r="C9" s="9">
        <f>COUNTIFS('Tarefas família'!$B$5:$B$804,A9,'Tarefas família'!$G$5:$G$804,"&lt;&gt;")</f>
        <v/>
      </c>
      <c r="D9" s="10">
        <f>IF(C9=0,"-",COUNTIFS('Tarefas família'!$B$5:$B$804,A9,'Tarefas família'!$G$5:$G$804,"Sozinha")/C9)</f>
        <v/>
      </c>
      <c r="E9" s="10">
        <f>IF(C9=0,"-",COUNTIFS('Tarefas família'!$B$5:$B$804,A9,'Tarefas família'!$G$5:$G$804,"Com dica")/C9)</f>
        <v/>
      </c>
      <c r="F9" s="10">
        <f>IF(C9=0,"-",COUNTIFS('Tarefas família'!$B$5:$B$804,A9,'Tarefas família'!$G$5:$G$804,"Não conseguiu")/C9)</f>
        <v/>
      </c>
      <c r="G9" s="11">
        <f>IF(COUNTIFS('Tarefas família'!$B$5:$B$804,A9,'Tarefas família'!$F$5:$F$804,"&gt;0")=0,"-",AVERAGEIFS('Tarefas família'!$F$5:$F$804,'Tarefas família'!$B$5:$B$804,A9,'Tarefas família'!$F$5:$F$804,"&gt;0"))</f>
        <v/>
      </c>
      <c r="H9" s="12">
        <f>IF(COUNTIFS('Tarefas família'!$B$5:$B$804,A9,'Tarefas família'!$H$5:$H$804,"&gt;0")=0,"-",AVERAGEIFS('Tarefas família'!$H$5:$H$804,'Tarefas família'!$B$5:$B$804,A9,'Tarefas família'!$H$5:$H$804,"&gt;0"))</f>
        <v/>
      </c>
    </row>
    <row r="10">
      <c r="A10" s="9" t="n">
        <v>5</v>
      </c>
      <c r="B10" s="9" t="inlineStr">
        <is>
          <t>Ele ficou tonto</t>
        </is>
      </c>
      <c r="C10" s="9">
        <f>COUNTIFS('Tarefas família'!$B$5:$B$804,A10,'Tarefas família'!$G$5:$G$804,"&lt;&gt;")</f>
        <v/>
      </c>
      <c r="D10" s="10">
        <f>IF(C10=0,"-",COUNTIFS('Tarefas família'!$B$5:$B$804,A10,'Tarefas família'!$G$5:$G$804,"Sozinha")/C10)</f>
        <v/>
      </c>
      <c r="E10" s="10">
        <f>IF(C10=0,"-",COUNTIFS('Tarefas família'!$B$5:$B$804,A10,'Tarefas família'!$G$5:$G$804,"Com dica")/C10)</f>
        <v/>
      </c>
      <c r="F10" s="10">
        <f>IF(C10=0,"-",COUNTIFS('Tarefas família'!$B$5:$B$804,A10,'Tarefas família'!$G$5:$G$804,"Não conseguiu")/C10)</f>
        <v/>
      </c>
      <c r="G10" s="11">
        <f>IF(COUNTIFS('Tarefas família'!$B$5:$B$804,A10,'Tarefas família'!$F$5:$F$804,"&gt;0")=0,"-",AVERAGEIFS('Tarefas família'!$F$5:$F$804,'Tarefas família'!$B$5:$B$804,A10,'Tarefas família'!$F$5:$F$804,"&gt;0"))</f>
        <v/>
      </c>
      <c r="H10" s="12">
        <f>IF(COUNTIFS('Tarefas família'!$B$5:$B$804,A10,'Tarefas família'!$H$5:$H$804,"&gt;0")=0,"-",AVERAGEIFS('Tarefas família'!$H$5:$H$804,'Tarefas família'!$B$5:$B$804,A10,'Tarefas família'!$H$5:$H$804,"&gt;0"))</f>
        <v/>
      </c>
    </row>
    <row r="11">
      <c r="A11" s="9" t="n">
        <v>6</v>
      </c>
      <c r="B11" s="9" t="inlineStr">
        <is>
          <t>Como foi a noite</t>
        </is>
      </c>
      <c r="C11" s="9">
        <f>COUNTIFS('Tarefas família'!$B$5:$B$804,A11,'Tarefas família'!$G$5:$G$804,"&lt;&gt;")</f>
        <v/>
      </c>
      <c r="D11" s="10">
        <f>IF(C11=0,"-",COUNTIFS('Tarefas família'!$B$5:$B$804,A11,'Tarefas família'!$G$5:$G$804,"Sozinha")/C11)</f>
        <v/>
      </c>
      <c r="E11" s="10">
        <f>IF(C11=0,"-",COUNTIFS('Tarefas família'!$B$5:$B$804,A11,'Tarefas família'!$G$5:$G$804,"Com dica")/C11)</f>
        <v/>
      </c>
      <c r="F11" s="10">
        <f>IF(C11=0,"-",COUNTIFS('Tarefas família'!$B$5:$B$804,A11,'Tarefas família'!$G$5:$G$804,"Não conseguiu")/C11)</f>
        <v/>
      </c>
      <c r="G11" s="11">
        <f>IF(COUNTIFS('Tarefas família'!$B$5:$B$804,A11,'Tarefas família'!$F$5:$F$804,"&gt;0")=0,"-",AVERAGEIFS('Tarefas família'!$F$5:$F$804,'Tarefas família'!$B$5:$B$804,A11,'Tarefas família'!$F$5:$F$804,"&gt;0"))</f>
        <v/>
      </c>
      <c r="H11" s="12">
        <f>IF(COUNTIFS('Tarefas família'!$B$5:$B$804,A11,'Tarefas família'!$H$5:$H$804,"&gt;0")=0,"-",AVERAGEIFS('Tarefas família'!$H$5:$H$804,'Tarefas família'!$B$5:$B$804,A11,'Tarefas família'!$H$5:$H$804,"&gt;0"))</f>
        <v/>
      </c>
    </row>
    <row r="12">
      <c r="A12" s="9" t="n">
        <v>7</v>
      </c>
      <c r="B12" s="9" t="inlineStr">
        <is>
          <t>Sair mais cedo</t>
        </is>
      </c>
      <c r="C12" s="9">
        <f>COUNTIFS('Tarefas família'!$B$5:$B$804,A12,'Tarefas família'!$G$5:$G$804,"&lt;&gt;")</f>
        <v/>
      </c>
      <c r="D12" s="10">
        <f>IF(C12=0,"-",COUNTIFS('Tarefas família'!$B$5:$B$804,A12,'Tarefas família'!$G$5:$G$804,"Sozinha")/C12)</f>
        <v/>
      </c>
      <c r="E12" s="10">
        <f>IF(C12=0,"-",COUNTIFS('Tarefas família'!$B$5:$B$804,A12,'Tarefas família'!$G$5:$G$804,"Com dica")/C12)</f>
        <v/>
      </c>
      <c r="F12" s="10">
        <f>IF(C12=0,"-",COUNTIFS('Tarefas família'!$B$5:$B$804,A12,'Tarefas família'!$G$5:$G$804,"Não conseguiu")/C12)</f>
        <v/>
      </c>
      <c r="G12" s="11">
        <f>IF(COUNTIFS('Tarefas família'!$B$5:$B$804,A12,'Tarefas família'!$F$5:$F$804,"&gt;0")=0,"-",AVERAGEIFS('Tarefas família'!$F$5:$F$804,'Tarefas família'!$B$5:$B$804,A12,'Tarefas família'!$F$5:$F$804,"&gt;0"))</f>
        <v/>
      </c>
      <c r="H12" s="12">
        <f>IF(COUNTIFS('Tarefas família'!$B$5:$B$804,A12,'Tarefas família'!$H$5:$H$804,"&gt;0")=0,"-",AVERAGEIFS('Tarefas família'!$H$5:$H$804,'Tarefas família'!$B$5:$B$804,A12,'Tarefas família'!$H$5:$H$804,"&gt;0"))</f>
        <v/>
      </c>
    </row>
    <row r="13">
      <c r="A13" s="9" t="n">
        <v>8</v>
      </c>
      <c r="B13" s="9" t="inlineStr">
        <is>
          <t>Uma nova cuidadora</t>
        </is>
      </c>
      <c r="C13" s="9">
        <f>COUNTIFS('Tarefas família'!$B$5:$B$804,A13,'Tarefas família'!$G$5:$G$804,"&lt;&gt;")</f>
        <v/>
      </c>
      <c r="D13" s="10">
        <f>IF(C13=0,"-",COUNTIFS('Tarefas família'!$B$5:$B$804,A13,'Tarefas família'!$G$5:$G$804,"Sozinha")/C13)</f>
        <v/>
      </c>
      <c r="E13" s="10">
        <f>IF(C13=0,"-",COUNTIFS('Tarefas família'!$B$5:$B$804,A13,'Tarefas família'!$G$5:$G$804,"Com dica")/C13)</f>
        <v/>
      </c>
      <c r="F13" s="10">
        <f>IF(C13=0,"-",COUNTIFS('Tarefas família'!$B$5:$B$804,A13,'Tarefas família'!$G$5:$G$804,"Não conseguiu")/C13)</f>
        <v/>
      </c>
      <c r="G13" s="11">
        <f>IF(COUNTIFS('Tarefas família'!$B$5:$B$804,A13,'Tarefas família'!$F$5:$F$804,"&gt;0")=0,"-",AVERAGEIFS('Tarefas família'!$F$5:$F$804,'Tarefas família'!$B$5:$B$804,A13,'Tarefas família'!$F$5:$F$804,"&gt;0"))</f>
        <v/>
      </c>
      <c r="H13" s="12">
        <f>IF(COUNTIFS('Tarefas família'!$B$5:$B$804,A13,'Tarefas família'!$H$5:$H$804,"&gt;0")=0,"-",AVERAGEIFS('Tarefas família'!$H$5:$H$804,'Tarefas família'!$B$5:$B$804,A13,'Tarefas família'!$H$5:$H$804,"&gt;0"))</f>
        <v/>
      </c>
    </row>
    <row r="14">
      <c r="A14" s="9" t="n">
        <v>9</v>
      </c>
      <c r="B14" s="9" t="inlineStr">
        <is>
          <t>Uma emergência</t>
        </is>
      </c>
      <c r="C14" s="9">
        <f>COUNTIFS('Tarefas família'!$B$5:$B$804,A14,'Tarefas família'!$G$5:$G$804,"&lt;&gt;")</f>
        <v/>
      </c>
      <c r="D14" s="10">
        <f>IF(C14=0,"-",COUNTIFS('Tarefas família'!$B$5:$B$804,A14,'Tarefas família'!$G$5:$G$804,"Sozinha")/C14)</f>
        <v/>
      </c>
      <c r="E14" s="10">
        <f>IF(C14=0,"-",COUNTIFS('Tarefas família'!$B$5:$B$804,A14,'Tarefas família'!$G$5:$G$804,"Com dica")/C14)</f>
        <v/>
      </c>
      <c r="F14" s="10">
        <f>IF(C14=0,"-",COUNTIFS('Tarefas família'!$B$5:$B$804,A14,'Tarefas família'!$G$5:$G$804,"Não conseguiu")/C14)</f>
        <v/>
      </c>
      <c r="G14" s="11">
        <f>IF(COUNTIFS('Tarefas família'!$B$5:$B$804,A14,'Tarefas família'!$F$5:$F$804,"&gt;0")=0,"-",AVERAGEIFS('Tarefas família'!$F$5:$F$804,'Tarefas família'!$B$5:$B$804,A14,'Tarefas família'!$F$5:$F$804,"&gt;0"))</f>
        <v/>
      </c>
      <c r="H14" s="12">
        <f>IF(COUNTIFS('Tarefas família'!$B$5:$B$804,A14,'Tarefas família'!$H$5:$H$804,"&gt;0")=0,"-",AVERAGEIFS('Tarefas família'!$H$5:$H$804,'Tarefas família'!$B$5:$B$804,A14,'Tarefas família'!$H$5:$H$804,"&gt;0"))</f>
        <v/>
      </c>
    </row>
    <row r="15">
      <c r="A15" s="9" t="n">
        <v>10</v>
      </c>
      <c r="B15" s="9" t="inlineStr">
        <is>
          <t>Corrigir um engano</t>
        </is>
      </c>
      <c r="C15" s="9">
        <f>COUNTIFS('Tarefas família'!$B$5:$B$804,A15,'Tarefas família'!$G$5:$G$804,"&lt;&gt;")</f>
        <v/>
      </c>
      <c r="D15" s="10">
        <f>IF(C15=0,"-",COUNTIFS('Tarefas família'!$B$5:$B$804,A15,'Tarefas família'!$G$5:$G$804,"Sozinha")/C15)</f>
        <v/>
      </c>
      <c r="E15" s="10">
        <f>IF(C15=0,"-",COUNTIFS('Tarefas família'!$B$5:$B$804,A15,'Tarefas família'!$G$5:$G$804,"Com dica")/C15)</f>
        <v/>
      </c>
      <c r="F15" s="10">
        <f>IF(C15=0,"-",COUNTIFS('Tarefas família'!$B$5:$B$804,A15,'Tarefas família'!$G$5:$G$804,"Não conseguiu")/C15)</f>
        <v/>
      </c>
      <c r="G15" s="11">
        <f>IF(COUNTIFS('Tarefas família'!$B$5:$B$804,A15,'Tarefas família'!$F$5:$F$804,"&gt;0")=0,"-",AVERAGEIFS('Tarefas família'!$F$5:$F$804,'Tarefas família'!$B$5:$B$804,A15,'Tarefas família'!$F$5:$F$804,"&gt;0"))</f>
        <v/>
      </c>
      <c r="H15" s="12">
        <f>IF(COUNTIFS('Tarefas família'!$B$5:$B$804,A15,'Tarefas família'!$H$5:$H$804,"&gt;0")=0,"-",AVERAGEIFS('Tarefas família'!$H$5:$H$804,'Tarefas família'!$B$5:$B$804,A15,'Tarefas família'!$H$5:$H$804,"&gt;0"))</f>
        <v/>
      </c>
    </row>
    <row r="16">
      <c r="A16" s="9" t="n">
        <v>11</v>
      </c>
      <c r="B16" s="9" t="inlineStr">
        <is>
          <t>Cuidar de mais uma pessoa</t>
        </is>
      </c>
      <c r="C16" s="9">
        <f>COUNTIFS('Tarefas família'!$B$5:$B$804,A16,'Tarefas família'!$G$5:$G$804,"&lt;&gt;")</f>
        <v/>
      </c>
      <c r="D16" s="10">
        <f>IF(C16=0,"-",COUNTIFS('Tarefas família'!$B$5:$B$804,A16,'Tarefas família'!$G$5:$G$804,"Sozinha")/C16)</f>
        <v/>
      </c>
      <c r="E16" s="10">
        <f>IF(C16=0,"-",COUNTIFS('Tarefas família'!$B$5:$B$804,A16,'Tarefas família'!$G$5:$G$804,"Com dica")/C16)</f>
        <v/>
      </c>
      <c r="F16" s="10">
        <f>IF(C16=0,"-",COUNTIFS('Tarefas família'!$B$5:$B$804,A16,'Tarefas família'!$G$5:$G$804,"Não conseguiu")/C16)</f>
        <v/>
      </c>
      <c r="G16" s="11">
        <f>IF(COUNTIFS('Tarefas família'!$B$5:$B$804,A16,'Tarefas família'!$F$5:$F$804,"&gt;0")=0,"-",AVERAGEIFS('Tarefas família'!$F$5:$F$804,'Tarefas família'!$B$5:$B$804,A16,'Tarefas família'!$F$5:$F$804,"&gt;0"))</f>
        <v/>
      </c>
      <c r="H16" s="12">
        <f>IF(COUNTIFS('Tarefas família'!$B$5:$B$804,A16,'Tarefas família'!$H$5:$H$804,"&gt;0")=0,"-",AVERAGEIFS('Tarefas família'!$H$5:$H$804,'Tarefas família'!$B$5:$B$804,A16,'Tarefas família'!$H$5:$H$804,"&gt;0"))</f>
        <v/>
      </c>
    </row>
    <row r="17">
      <c r="A17" s="9" t="n">
        <v>12</v>
      </c>
      <c r="B17" s="9" t="inlineStr">
        <is>
          <t>Médias para a consulta</t>
        </is>
      </c>
      <c r="C17" s="9">
        <f>COUNTIFS('Tarefas família'!$B$5:$B$804,A17,'Tarefas família'!$G$5:$G$804,"&lt;&gt;")</f>
        <v/>
      </c>
      <c r="D17" s="10">
        <f>IF(C17=0,"-",COUNTIFS('Tarefas família'!$B$5:$B$804,A17,'Tarefas família'!$G$5:$G$804,"Sozinha")/C17)</f>
        <v/>
      </c>
      <c r="E17" s="10">
        <f>IF(C17=0,"-",COUNTIFS('Tarefas família'!$B$5:$B$804,A17,'Tarefas família'!$G$5:$G$804,"Com dica")/C17)</f>
        <v/>
      </c>
      <c r="F17" s="10">
        <f>IF(C17=0,"-",COUNTIFS('Tarefas família'!$B$5:$B$804,A17,'Tarefas família'!$G$5:$G$804,"Não conseguiu")/C17)</f>
        <v/>
      </c>
      <c r="G17" s="11">
        <f>IF(COUNTIFS('Tarefas família'!$B$5:$B$804,A17,'Tarefas família'!$F$5:$F$804,"&gt;0")=0,"-",AVERAGEIFS('Tarefas família'!$F$5:$F$804,'Tarefas família'!$B$5:$B$804,A17,'Tarefas família'!$F$5:$F$804,"&gt;0"))</f>
        <v/>
      </c>
      <c r="H17" s="12">
        <f>IF(COUNTIFS('Tarefas família'!$B$5:$B$804,A17,'Tarefas família'!$H$5:$H$804,"&gt;0")=0,"-",AVERAGEIFS('Tarefas família'!$H$5:$H$804,'Tarefas família'!$B$5:$B$804,A17,'Tarefas família'!$H$5:$H$804,"&gt;0"))</f>
        <v/>
      </c>
    </row>
    <row r="18">
      <c r="A18" s="9" t="n">
        <v>13</v>
      </c>
      <c r="B18" s="9" t="inlineStr">
        <is>
          <t>Um compromisso amanhã</t>
        </is>
      </c>
      <c r="C18" s="9">
        <f>COUNTIFS('Tarefas família'!$B$5:$B$804,A18,'Tarefas família'!$G$5:$G$804,"&lt;&gt;")</f>
        <v/>
      </c>
      <c r="D18" s="10">
        <f>IF(C18=0,"-",COUNTIFS('Tarefas família'!$B$5:$B$804,A18,'Tarefas família'!$G$5:$G$804,"Sozinha")/C18)</f>
        <v/>
      </c>
      <c r="E18" s="10">
        <f>IF(C18=0,"-",COUNTIFS('Tarefas família'!$B$5:$B$804,A18,'Tarefas família'!$G$5:$G$804,"Com dica")/C18)</f>
        <v/>
      </c>
      <c r="F18" s="10">
        <f>IF(C18=0,"-",COUNTIFS('Tarefas família'!$B$5:$B$804,A18,'Tarefas família'!$G$5:$G$804,"Não conseguiu")/C18)</f>
        <v/>
      </c>
      <c r="G18" s="11">
        <f>IF(COUNTIFS('Tarefas família'!$B$5:$B$804,A18,'Tarefas família'!$F$5:$F$804,"&gt;0")=0,"-",AVERAGEIFS('Tarefas família'!$F$5:$F$804,'Tarefas família'!$B$5:$B$804,A18,'Tarefas família'!$F$5:$F$804,"&gt;0"))</f>
        <v/>
      </c>
      <c r="H18" s="12">
        <f>IF(COUNTIFS('Tarefas família'!$B$5:$B$804,A18,'Tarefas família'!$H$5:$H$804,"&gt;0")=0,"-",AVERAGEIFS('Tarefas família'!$H$5:$H$804,'Tarefas família'!$B$5:$B$804,A18,'Tarefas família'!$H$5:$H$804,"&gt;0"))</f>
        <v/>
      </c>
    </row>
    <row r="21">
      <c r="A21" s="7" t="inlineStr">
        <is>
          <t>Cuidadoras</t>
        </is>
      </c>
    </row>
    <row r="22" ht="42" customHeight="1">
      <c r="A22" s="8" t="inlineStr">
        <is>
          <t>Tarefa</t>
        </is>
      </c>
      <c r="B22" s="8" t="inlineStr">
        <is>
          <t>Nome</t>
        </is>
      </c>
      <c r="C22" s="8" t="inlineStr">
        <is>
          <t>Pessoas</t>
        </is>
      </c>
      <c r="D22" s="8" t="inlineStr">
        <is>
          <t>% sozinha</t>
        </is>
      </c>
      <c r="E22" s="8" t="inlineStr">
        <is>
          <t>% com dica</t>
        </is>
      </c>
      <c r="F22" s="8" t="inlineStr">
        <is>
          <t>% não conseguiu</t>
        </is>
      </c>
      <c r="G22" s="8" t="inlineStr">
        <is>
          <t>Tempo médio (s)</t>
        </is>
      </c>
      <c r="H22" s="8" t="inlineStr">
        <is>
          <t>Facilidade média</t>
        </is>
      </c>
    </row>
    <row r="23">
      <c r="A23" s="9" t="inlineStr">
        <is>
          <t>C1</t>
        </is>
      </c>
      <c r="B23" s="9" t="inlineStr">
        <is>
          <t>O convite da Ana</t>
        </is>
      </c>
      <c r="C23" s="9">
        <f>COUNTIFS('Tarefas cuidadoras'!$B$5:$B$804,A23,'Tarefas cuidadoras'!$G$5:$G$804,"&lt;&gt;")</f>
        <v/>
      </c>
      <c r="D23" s="10">
        <f>IF(C23=0,"-",COUNTIFS('Tarefas cuidadoras'!$B$5:$B$804,A23,'Tarefas cuidadoras'!$G$5:$G$804,"Sozinha")/C23)</f>
        <v/>
      </c>
      <c r="E23" s="10">
        <f>IF(C23=0,"-",COUNTIFS('Tarefas cuidadoras'!$B$5:$B$804,A23,'Tarefas cuidadoras'!$G$5:$G$804,"Com dica")/C23)</f>
        <v/>
      </c>
      <c r="F23" s="10">
        <f>IF(C23=0,"-",COUNTIFS('Tarefas cuidadoras'!$B$5:$B$804,A23,'Tarefas cuidadoras'!$G$5:$G$804,"Não conseguiu")/C23)</f>
        <v/>
      </c>
      <c r="G23" s="11">
        <f>IF(COUNTIFS('Tarefas cuidadoras'!$B$5:$B$804,A23,'Tarefas cuidadoras'!$F$5:$F$804,"&gt;0")=0,"-",AVERAGEIFS('Tarefas cuidadoras'!$F$5:$F$804,'Tarefas cuidadoras'!$B$5:$B$804,A23,'Tarefas cuidadoras'!$F$5:$F$804,"&gt;0"))</f>
        <v/>
      </c>
      <c r="H23" s="12">
        <f>IF(COUNTIFS('Tarefas cuidadoras'!$B$5:$B$804,A23,'Tarefas cuidadoras'!$H$5:$H$804,"&gt;0")=0,"-",AVERAGEIFS('Tarefas cuidadoras'!$H$5:$H$804,'Tarefas cuidadoras'!$B$5:$B$804,A23,'Tarefas cuidadoras'!$H$5:$H$804,"&gt;0"))</f>
        <v/>
      </c>
    </row>
    <row r="24">
      <c r="A24" s="9" t="inlineStr">
        <is>
          <t>C2</t>
        </is>
      </c>
      <c r="B24" s="9" t="inlineStr">
        <is>
          <t>Antes do primeiro plantão</t>
        </is>
      </c>
      <c r="C24" s="9">
        <f>COUNTIFS('Tarefas cuidadoras'!$B$5:$B$804,A24,'Tarefas cuidadoras'!$G$5:$G$804,"&lt;&gt;")</f>
        <v/>
      </c>
      <c r="D24" s="10">
        <f>IF(C24=0,"-",COUNTIFS('Tarefas cuidadoras'!$B$5:$B$804,A24,'Tarefas cuidadoras'!$G$5:$G$804,"Sozinha")/C24)</f>
        <v/>
      </c>
      <c r="E24" s="10">
        <f>IF(C24=0,"-",COUNTIFS('Tarefas cuidadoras'!$B$5:$B$804,A24,'Tarefas cuidadoras'!$G$5:$G$804,"Com dica")/C24)</f>
        <v/>
      </c>
      <c r="F24" s="10">
        <f>IF(C24=0,"-",COUNTIFS('Tarefas cuidadoras'!$B$5:$B$804,A24,'Tarefas cuidadoras'!$G$5:$G$804,"Não conseguiu")/C24)</f>
        <v/>
      </c>
      <c r="G24" s="11">
        <f>IF(COUNTIFS('Tarefas cuidadoras'!$B$5:$B$804,A24,'Tarefas cuidadoras'!$F$5:$F$804,"&gt;0")=0,"-",AVERAGEIFS('Tarefas cuidadoras'!$F$5:$F$804,'Tarefas cuidadoras'!$B$5:$B$804,A24,'Tarefas cuidadoras'!$F$5:$F$804,"&gt;0"))</f>
        <v/>
      </c>
      <c r="H24" s="12">
        <f>IF(COUNTIFS('Tarefas cuidadoras'!$B$5:$B$804,A24,'Tarefas cuidadoras'!$H$5:$H$804,"&gt;0")=0,"-",AVERAGEIFS('Tarefas cuidadoras'!$H$5:$H$804,'Tarefas cuidadoras'!$B$5:$B$804,A24,'Tarefas cuidadoras'!$H$5:$H$804,"&gt;0"))</f>
        <v/>
      </c>
    </row>
    <row r="25">
      <c r="A25" s="9" t="inlineStr">
        <is>
          <t>C3</t>
        </is>
      </c>
      <c r="B25" s="9" t="inlineStr">
        <is>
          <t>Hora do almoço</t>
        </is>
      </c>
      <c r="C25" s="9">
        <f>COUNTIFS('Tarefas cuidadoras'!$B$5:$B$804,A25,'Tarefas cuidadoras'!$G$5:$G$804,"&lt;&gt;")</f>
        <v/>
      </c>
      <c r="D25" s="10">
        <f>IF(C25=0,"-",COUNTIFS('Tarefas cuidadoras'!$B$5:$B$804,A25,'Tarefas cuidadoras'!$G$5:$G$804,"Sozinha")/C25)</f>
        <v/>
      </c>
      <c r="E25" s="10">
        <f>IF(C25=0,"-",COUNTIFS('Tarefas cuidadoras'!$B$5:$B$804,A25,'Tarefas cuidadoras'!$G$5:$G$804,"Com dica")/C25)</f>
        <v/>
      </c>
      <c r="F25" s="10">
        <f>IF(C25=0,"-",COUNTIFS('Tarefas cuidadoras'!$B$5:$B$804,A25,'Tarefas cuidadoras'!$G$5:$G$804,"Não conseguiu")/C25)</f>
        <v/>
      </c>
      <c r="G25" s="11">
        <f>IF(COUNTIFS('Tarefas cuidadoras'!$B$5:$B$804,A25,'Tarefas cuidadoras'!$F$5:$F$804,"&gt;0")=0,"-",AVERAGEIFS('Tarefas cuidadoras'!$F$5:$F$804,'Tarefas cuidadoras'!$B$5:$B$804,A25,'Tarefas cuidadoras'!$F$5:$F$804,"&gt;0"))</f>
        <v/>
      </c>
      <c r="H25" s="12">
        <f>IF(COUNTIFS('Tarefas cuidadoras'!$B$5:$B$804,A25,'Tarefas cuidadoras'!$H$5:$H$804,"&gt;0")=0,"-",AVERAGEIFS('Tarefas cuidadoras'!$H$5:$H$804,'Tarefas cuidadoras'!$B$5:$B$804,A25,'Tarefas cuidadoras'!$H$5:$H$804,"&gt;0"))</f>
        <v/>
      </c>
    </row>
    <row r="26">
      <c r="A26" s="9" t="inlineStr">
        <is>
          <t>C4</t>
        </is>
      </c>
      <c r="B26" s="9" t="inlineStr">
        <is>
          <t>Ele ficou tonto</t>
        </is>
      </c>
      <c r="C26" s="9">
        <f>COUNTIFS('Tarefas cuidadoras'!$B$5:$B$804,A26,'Tarefas cuidadoras'!$G$5:$G$804,"&lt;&gt;")</f>
        <v/>
      </c>
      <c r="D26" s="10">
        <f>IF(C26=0,"-",COUNTIFS('Tarefas cuidadoras'!$B$5:$B$804,A26,'Tarefas cuidadoras'!$G$5:$G$804,"Sozinha")/C26)</f>
        <v/>
      </c>
      <c r="E26" s="10">
        <f>IF(C26=0,"-",COUNTIFS('Tarefas cuidadoras'!$B$5:$B$804,A26,'Tarefas cuidadoras'!$G$5:$G$804,"Com dica")/C26)</f>
        <v/>
      </c>
      <c r="F26" s="10">
        <f>IF(C26=0,"-",COUNTIFS('Tarefas cuidadoras'!$B$5:$B$804,A26,'Tarefas cuidadoras'!$G$5:$G$804,"Não conseguiu")/C26)</f>
        <v/>
      </c>
      <c r="G26" s="11">
        <f>IF(COUNTIFS('Tarefas cuidadoras'!$B$5:$B$804,A26,'Tarefas cuidadoras'!$F$5:$F$804,"&gt;0")=0,"-",AVERAGEIFS('Tarefas cuidadoras'!$F$5:$F$804,'Tarefas cuidadoras'!$B$5:$B$804,A26,'Tarefas cuidadoras'!$F$5:$F$804,"&gt;0"))</f>
        <v/>
      </c>
      <c r="H26" s="12">
        <f>IF(COUNTIFS('Tarefas cuidadoras'!$B$5:$B$804,A26,'Tarefas cuidadoras'!$H$5:$H$804,"&gt;0")=0,"-",AVERAGEIFS('Tarefas cuidadoras'!$H$5:$H$804,'Tarefas cuidadoras'!$B$5:$B$804,A26,'Tarefas cuidadoras'!$H$5:$H$804,"&gt;0"))</f>
        <v/>
      </c>
    </row>
    <row r="27">
      <c r="A27" s="9" t="inlineStr">
        <is>
          <t>C5</t>
        </is>
      </c>
      <c r="B27" s="9" t="inlineStr">
        <is>
          <t>Mudar a caminhada</t>
        </is>
      </c>
      <c r="C27" s="9">
        <f>COUNTIFS('Tarefas cuidadoras'!$B$5:$B$804,A27,'Tarefas cuidadoras'!$G$5:$G$804,"&lt;&gt;")</f>
        <v/>
      </c>
      <c r="D27" s="10">
        <f>IF(C27=0,"-",COUNTIFS('Tarefas cuidadoras'!$B$5:$B$804,A27,'Tarefas cuidadoras'!$G$5:$G$804,"Sozinha")/C27)</f>
        <v/>
      </c>
      <c r="E27" s="10">
        <f>IF(C27=0,"-",COUNTIFS('Tarefas cuidadoras'!$B$5:$B$804,A27,'Tarefas cuidadoras'!$G$5:$G$804,"Com dica")/C27)</f>
        <v/>
      </c>
      <c r="F27" s="10">
        <f>IF(C27=0,"-",COUNTIFS('Tarefas cuidadoras'!$B$5:$B$804,A27,'Tarefas cuidadoras'!$G$5:$G$804,"Não conseguiu")/C27)</f>
        <v/>
      </c>
      <c r="G27" s="11">
        <f>IF(COUNTIFS('Tarefas cuidadoras'!$B$5:$B$804,A27,'Tarefas cuidadoras'!$F$5:$F$804,"&gt;0")=0,"-",AVERAGEIFS('Tarefas cuidadoras'!$F$5:$F$804,'Tarefas cuidadoras'!$B$5:$B$804,A27,'Tarefas cuidadoras'!$F$5:$F$804,"&gt;0"))</f>
        <v/>
      </c>
      <c r="H27" s="12">
        <f>IF(COUNTIFS('Tarefas cuidadoras'!$B$5:$B$804,A27,'Tarefas cuidadoras'!$H$5:$H$804,"&gt;0")=0,"-",AVERAGEIFS('Tarefas cuidadoras'!$H$5:$H$804,'Tarefas cuidadoras'!$B$5:$B$804,A27,'Tarefas cuidadoras'!$H$5:$H$804,"&gt;0"))</f>
        <v/>
      </c>
    </row>
    <row r="28">
      <c r="A28" s="9" t="inlineStr">
        <is>
          <t>C6</t>
        </is>
      </c>
      <c r="B28" s="9" t="inlineStr">
        <is>
          <t>Uma emergência</t>
        </is>
      </c>
      <c r="C28" s="9">
        <f>COUNTIFS('Tarefas cuidadoras'!$B$5:$B$804,A28,'Tarefas cuidadoras'!$G$5:$G$804,"&lt;&gt;")</f>
        <v/>
      </c>
      <c r="D28" s="10">
        <f>IF(C28=0,"-",COUNTIFS('Tarefas cuidadoras'!$B$5:$B$804,A28,'Tarefas cuidadoras'!$G$5:$G$804,"Sozinha")/C28)</f>
        <v/>
      </c>
      <c r="E28" s="10">
        <f>IF(C28=0,"-",COUNTIFS('Tarefas cuidadoras'!$B$5:$B$804,A28,'Tarefas cuidadoras'!$G$5:$G$804,"Com dica")/C28)</f>
        <v/>
      </c>
      <c r="F28" s="10">
        <f>IF(C28=0,"-",COUNTIFS('Tarefas cuidadoras'!$B$5:$B$804,A28,'Tarefas cuidadoras'!$G$5:$G$804,"Não conseguiu")/C28)</f>
        <v/>
      </c>
      <c r="G28" s="11">
        <f>IF(COUNTIFS('Tarefas cuidadoras'!$B$5:$B$804,A28,'Tarefas cuidadoras'!$F$5:$F$804,"&gt;0")=0,"-",AVERAGEIFS('Tarefas cuidadoras'!$F$5:$F$804,'Tarefas cuidadoras'!$B$5:$B$804,A28,'Tarefas cuidadoras'!$F$5:$F$804,"&gt;0"))</f>
        <v/>
      </c>
      <c r="H28" s="12">
        <f>IF(COUNTIFS('Tarefas cuidadoras'!$B$5:$B$804,A28,'Tarefas cuidadoras'!$H$5:$H$804,"&gt;0")=0,"-",AVERAGEIFS('Tarefas cuidadoras'!$H$5:$H$804,'Tarefas cuidadoras'!$B$5:$B$804,A28,'Tarefas cuidadoras'!$H$5:$H$804,"&gt;0"))</f>
        <v/>
      </c>
    </row>
    <row r="29">
      <c r="A29" s="9" t="inlineStr">
        <is>
          <t>C7</t>
        </is>
      </c>
      <c r="B29" s="9" t="inlineStr">
        <is>
          <t>Como foi a noite</t>
        </is>
      </c>
      <c r="C29" s="9">
        <f>COUNTIFS('Tarefas cuidadoras'!$B$5:$B$804,A29,'Tarefas cuidadoras'!$G$5:$G$804,"&lt;&gt;")</f>
        <v/>
      </c>
      <c r="D29" s="10">
        <f>IF(C29=0,"-",COUNTIFS('Tarefas cuidadoras'!$B$5:$B$804,A29,'Tarefas cuidadoras'!$G$5:$G$804,"Sozinha")/C29)</f>
        <v/>
      </c>
      <c r="E29" s="10">
        <f>IF(C29=0,"-",COUNTIFS('Tarefas cuidadoras'!$B$5:$B$804,A29,'Tarefas cuidadoras'!$G$5:$G$804,"Com dica")/C29)</f>
        <v/>
      </c>
      <c r="F29" s="10">
        <f>IF(C29=0,"-",COUNTIFS('Tarefas cuidadoras'!$B$5:$B$804,A29,'Tarefas cuidadoras'!$G$5:$G$804,"Não conseguiu")/C29)</f>
        <v/>
      </c>
      <c r="G29" s="11">
        <f>IF(COUNTIFS('Tarefas cuidadoras'!$B$5:$B$804,A29,'Tarefas cuidadoras'!$F$5:$F$804,"&gt;0")=0,"-",AVERAGEIFS('Tarefas cuidadoras'!$F$5:$F$804,'Tarefas cuidadoras'!$B$5:$B$804,A29,'Tarefas cuidadoras'!$F$5:$F$804,"&gt;0"))</f>
        <v/>
      </c>
      <c r="H29" s="12">
        <f>IF(COUNTIFS('Tarefas cuidadoras'!$B$5:$B$804,A29,'Tarefas cuidadoras'!$H$5:$H$804,"&gt;0")=0,"-",AVERAGEIFS('Tarefas cuidadoras'!$H$5:$H$804,'Tarefas cuidadoras'!$B$5:$B$804,A29,'Tarefas cuidadoras'!$H$5:$H$804,"&gt;0"))</f>
        <v/>
      </c>
    </row>
    <row r="30">
      <c r="A30" s="9" t="inlineStr">
        <is>
          <t>C8</t>
        </is>
      </c>
      <c r="B30" s="9" t="inlineStr">
        <is>
          <t>Sair mais cedo</t>
        </is>
      </c>
      <c r="C30" s="9">
        <f>COUNTIFS('Tarefas cuidadoras'!$B$5:$B$804,A30,'Tarefas cuidadoras'!$G$5:$G$804,"&lt;&gt;")</f>
        <v/>
      </c>
      <c r="D30" s="10">
        <f>IF(C30=0,"-",COUNTIFS('Tarefas cuidadoras'!$B$5:$B$804,A30,'Tarefas cuidadoras'!$G$5:$G$804,"Sozinha")/C30)</f>
        <v/>
      </c>
      <c r="E30" s="10">
        <f>IF(C30=0,"-",COUNTIFS('Tarefas cuidadoras'!$B$5:$B$804,A30,'Tarefas cuidadoras'!$G$5:$G$804,"Com dica")/C30)</f>
        <v/>
      </c>
      <c r="F30" s="10">
        <f>IF(C30=0,"-",COUNTIFS('Tarefas cuidadoras'!$B$5:$B$804,A30,'Tarefas cuidadoras'!$G$5:$G$804,"Não conseguiu")/C30)</f>
        <v/>
      </c>
      <c r="G30" s="11">
        <f>IF(COUNTIFS('Tarefas cuidadoras'!$B$5:$B$804,A30,'Tarefas cuidadoras'!$F$5:$F$804,"&gt;0")=0,"-",AVERAGEIFS('Tarefas cuidadoras'!$F$5:$F$804,'Tarefas cuidadoras'!$B$5:$B$804,A30,'Tarefas cuidadoras'!$F$5:$F$804,"&gt;0"))</f>
        <v/>
      </c>
      <c r="H30" s="12">
        <f>IF(COUNTIFS('Tarefas cuidadoras'!$B$5:$B$804,A30,'Tarefas cuidadoras'!$H$5:$H$804,"&gt;0")=0,"-",AVERAGEIFS('Tarefas cuidadoras'!$H$5:$H$804,'Tarefas cuidadoras'!$B$5:$B$804,A30,'Tarefas cuidadoras'!$H$5:$H$804,"&gt;0"))</f>
        <v/>
      </c>
    </row>
    <row r="31">
      <c r="A31" s="9" t="inlineStr">
        <is>
          <t>C9</t>
        </is>
      </c>
      <c r="B31" s="9" t="inlineStr">
        <is>
          <t>Corrigir um engano</t>
        </is>
      </c>
      <c r="C31" s="9">
        <f>COUNTIFS('Tarefas cuidadoras'!$B$5:$B$804,A31,'Tarefas cuidadoras'!$G$5:$G$804,"&lt;&gt;")</f>
        <v/>
      </c>
      <c r="D31" s="10">
        <f>IF(C31=0,"-",COUNTIFS('Tarefas cuidadoras'!$B$5:$B$804,A31,'Tarefas cuidadoras'!$G$5:$G$804,"Sozinha")/C31)</f>
        <v/>
      </c>
      <c r="E31" s="10">
        <f>IF(C31=0,"-",COUNTIFS('Tarefas cuidadoras'!$B$5:$B$804,A31,'Tarefas cuidadoras'!$G$5:$G$804,"Com dica")/C31)</f>
        <v/>
      </c>
      <c r="F31" s="10">
        <f>IF(C31=0,"-",COUNTIFS('Tarefas cuidadoras'!$B$5:$B$804,A31,'Tarefas cuidadoras'!$G$5:$G$804,"Não conseguiu")/C31)</f>
        <v/>
      </c>
      <c r="G31" s="11">
        <f>IF(COUNTIFS('Tarefas cuidadoras'!$B$5:$B$804,A31,'Tarefas cuidadoras'!$F$5:$F$804,"&gt;0")=0,"-",AVERAGEIFS('Tarefas cuidadoras'!$F$5:$F$804,'Tarefas cuidadoras'!$B$5:$B$804,A31,'Tarefas cuidadoras'!$F$5:$F$804,"&gt;0"))</f>
        <v/>
      </c>
      <c r="H31" s="12">
        <f>IF(COUNTIFS('Tarefas cuidadoras'!$B$5:$B$804,A31,'Tarefas cuidadoras'!$H$5:$H$804,"&gt;0")=0,"-",AVERAGEIFS('Tarefas cuidadoras'!$H$5:$H$804,'Tarefas cuidadoras'!$B$5:$B$804,A31,'Tarefas cuidadoras'!$H$5:$H$804,"&gt;0"))</f>
        <v/>
      </c>
    </row>
    <row r="34">
      <c r="A34" s="7" t="inlineStr">
        <is>
          <t>Nota de recomendação (NPS)</t>
        </is>
      </c>
    </row>
    <row r="35" ht="42" customHeight="1">
      <c r="A35" s="8" t="inlineStr">
        <is>
          <t>Grupo</t>
        </is>
      </c>
      <c r="B35" s="8" t="inlineStr">
        <is>
          <t>Respostas</t>
        </is>
      </c>
      <c r="C35" s="8" t="inlineStr">
        <is>
          <t>Promotores (9–10)</t>
        </is>
      </c>
      <c r="D35" s="8" t="inlineStr">
        <is>
          <t>Detratores (0–6)</t>
        </is>
      </c>
      <c r="E35" s="8" t="inlineStr">
        <is>
          <t>NPS</t>
        </is>
      </c>
    </row>
    <row r="36">
      <c r="A36" s="9" t="inlineStr">
        <is>
          <t>Família</t>
        </is>
      </c>
      <c r="B36" s="9">
        <f>COUNTIFS(Final!$B$5:$B$84,A36,Final!$H$5:$H$84,"&gt;=0")</f>
        <v/>
      </c>
      <c r="C36" s="9">
        <f>COUNTIFS(Final!$B$5:$B$84,A36,Final!$H$5:$H$84,"&gt;=9")</f>
        <v/>
      </c>
      <c r="D36" s="9">
        <f>COUNTIFS(Final!$B$5:$B$84,A36,Final!$H$5:$H$84,"&lt;=6",Final!$H$5:$H$84,"&lt;&gt;")</f>
        <v/>
      </c>
      <c r="E36" s="9">
        <f>IF(B36=0,"-",ROUND((C36-D36)/B36*100,0))</f>
        <v/>
      </c>
    </row>
    <row r="37">
      <c r="A37" s="9" t="inlineStr">
        <is>
          <t>Cuidadora</t>
        </is>
      </c>
      <c r="B37" s="9">
        <f>COUNTIFS(Final!$B$5:$B$84,A37,Final!$H$5:$H$84,"&gt;=0")</f>
        <v/>
      </c>
      <c r="C37" s="9">
        <f>COUNTIFS(Final!$B$5:$B$84,A37,Final!$H$5:$H$84,"&gt;=9")</f>
        <v/>
      </c>
      <c r="D37" s="9">
        <f>COUNTIFS(Final!$B$5:$B$84,A37,Final!$H$5:$H$84,"&lt;=6",Final!$H$5:$H$84,"&lt;&gt;")</f>
        <v/>
      </c>
      <c r="E37" s="9">
        <f>IF(B37=0,"-",ROUND((C37-D37)/B37*100,0))</f>
        <v/>
      </c>
    </row>
    <row r="39">
      <c r="A39" s="7" t="inlineStr">
        <is>
          <t>Conexão · peso do modo sem internet</t>
        </is>
      </c>
    </row>
    <row r="40" ht="42" customHeight="1">
      <c r="A40" s="8" t="inlineStr">
        <is>
          <t>Grupo</t>
        </is>
      </c>
      <c r="B40" s="8" t="inlineStr">
        <is>
          <t>Responderam</t>
        </is>
      </c>
      <c r="C40" s="8" t="inlineStr">
        <is>
          <t>Sinal fraco (1–2)</t>
        </is>
      </c>
      <c r="D40" s="8" t="inlineStr">
        <is>
          <t>Sem wi-fi (só dados ou nenhum)</t>
        </is>
      </c>
      <c r="E40" s="8" t="inlineStr">
        <is>
          <t>Dados acabam (sim ou às vezes)</t>
        </is>
      </c>
      <c r="F40" s="8" t="inlineStr">
        <is>
          <t>Não confiaria sem internet</t>
        </is>
      </c>
      <c r="G40" s="8" t="inlineStr">
        <is>
          <t>Sinal médio</t>
        </is>
      </c>
    </row>
    <row r="41">
      <c r="A41" s="9" t="inlineStr">
        <is>
          <t>Família</t>
        </is>
      </c>
      <c r="B41" s="9">
        <f>COUNTA('Participantes família'!$M$5:$M$44)</f>
        <v/>
      </c>
      <c r="C41" s="9">
        <f>COUNTIFS('Participantes família'!$N$5:$N$44,"&gt;=1",'Participantes família'!$N$5:$N$44,"&lt;=2")</f>
        <v/>
      </c>
      <c r="D41" s="9">
        <f>COUNTIF('Participantes família'!$M$5:$M$44,"Dados móveis")+COUNTIF('Participantes família'!$M$5:$M$44,"Nenhum")</f>
        <v/>
      </c>
      <c r="E41" s="9">
        <f>COUNTIF('Participantes família'!$P$5:$P$44,"Sim")+COUNTIF('Participantes família'!$P$5:$P$44,"Às vezes")</f>
        <v/>
      </c>
      <c r="F41" s="9">
        <f>COUNTIFS(Final!$B$5:$B$84,A41,Final!$I$5:$I$84,"Não")</f>
        <v/>
      </c>
      <c r="G41" s="12">
        <f>IF(COUNT('Participantes família'!$N$5:$N$44)=0,"-",AVERAGE('Participantes família'!$N$5:$N$44))</f>
        <v/>
      </c>
    </row>
    <row r="42">
      <c r="A42" s="9" t="inlineStr">
        <is>
          <t>Cuidadora</t>
        </is>
      </c>
      <c r="B42" s="9">
        <f>COUNTA('Participantes cuidadoras'!$L$5:$L$44)</f>
        <v/>
      </c>
      <c r="C42" s="9">
        <f>COUNTIFS('Participantes cuidadoras'!$M$5:$M$44,"&gt;=1",'Participantes cuidadoras'!$M$5:$M$44,"&lt;=2")</f>
        <v/>
      </c>
      <c r="D42" s="9">
        <f>COUNTIF('Participantes cuidadoras'!$L$5:$L$44,"Dados móveis")+COUNTIF('Participantes cuidadoras'!$L$5:$L$44,"Nenhum")</f>
        <v/>
      </c>
      <c r="E42" s="9">
        <f>COUNTIF('Participantes cuidadoras'!$O$5:$O$44,"Sim")+COUNTIF('Participantes cuidadoras'!$O$5:$O$44,"Às vezes")</f>
        <v/>
      </c>
      <c r="F42" s="9">
        <f>COUNTIFS(Final!$B$5:$B$84,A42,Final!$I$5:$I$84,"Não")</f>
        <v/>
      </c>
      <c r="G42" s="12">
        <f>IF(COUNT('Participantes cuidadoras'!$M$5:$M$44)=0,"-",AVERAGE('Participantes cuidadoras'!$M$5:$M$44))</f>
        <v/>
      </c>
    </row>
    <row r="43">
      <c r="A43" s="6" t="inlineStr">
        <is>
          <t>Se metade ou mais de um grupo tem sinal fraco, fica sem wi-fi ou sem dados, o modo sem internet deve entrar como prioridade.</t>
        </is>
      </c>
    </row>
    <row r="45">
      <c r="A45" s="6" t="inlineStr">
        <is>
          <t>NPS vai de −100 a +100: % de promotores menos % de detratores. Com poucas pessoas, leia como sinal, não como medida.</t>
        </is>
      </c>
    </row>
    <row r="46">
      <c r="A46" s="2" t="inlineStr">
        <is>
          <t>Problemas para corrigir primeiro:</t>
        </is>
      </c>
      <c r="C46" s="2">
        <f>COUNTIF(Problemas!$H$5:$H$64,"Corrigir primeiro")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4" max="4"/>
    <col width="22" customWidth="1" min="5" max="5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2" t="inlineStr">
        <is>
          <t>Tarefa</t>
        </is>
      </c>
      <c r="B1" s="2" t="inlineStr">
        <is>
          <t>Nome (família)</t>
        </is>
      </c>
      <c r="D1" s="2" t="inlineStr">
        <is>
          <t>Tarefa</t>
        </is>
      </c>
      <c r="E1" s="2" t="inlineStr">
        <is>
          <t>Nome (cuidadoras)</t>
        </is>
      </c>
      <c r="G1" s="2" t="inlineStr">
        <is>
          <t>Resultado</t>
        </is>
      </c>
      <c r="H1" s="2" t="inlineStr">
        <is>
          <t>Tipo</t>
        </is>
      </c>
      <c r="I1" s="2" t="inlineStr">
        <is>
          <t>Gravidade</t>
        </is>
      </c>
      <c r="J1" s="2" t="inlineStr">
        <is>
          <t>Sim/Não</t>
        </is>
      </c>
      <c r="K1" s="2" t="inlineStr">
        <is>
          <t>Gravação</t>
        </is>
      </c>
      <c r="L1" s="2" t="inlineStr">
        <is>
          <t>Status</t>
        </is>
      </c>
      <c r="M1" s="2" t="inlineStr">
        <is>
          <t>Internet</t>
        </is>
      </c>
      <c r="N1" s="2" t="inlineStr">
        <is>
          <t>Frequência</t>
        </is>
      </c>
      <c r="O1" s="2" t="inlineStr">
        <is>
          <t>Confiança</t>
        </is>
      </c>
    </row>
    <row r="2">
      <c r="A2" s="13" t="n">
        <v>1</v>
      </c>
      <c r="B2" s="13" t="inlineStr">
        <is>
          <t>Comece a usar o app</t>
        </is>
      </c>
      <c r="D2" s="13" t="inlineStr">
        <is>
          <t>C1</t>
        </is>
      </c>
      <c r="E2" s="13" t="inlineStr">
        <is>
          <t>O convite da Ana</t>
        </is>
      </c>
      <c r="G2" s="13" t="inlineStr">
        <is>
          <t>Sozinha</t>
        </is>
      </c>
      <c r="H2" s="13" t="inlineStr">
        <is>
          <t>App</t>
        </is>
      </c>
      <c r="I2" s="13" t="inlineStr">
        <is>
          <t>Alta</t>
        </is>
      </c>
      <c r="J2" s="13" t="inlineStr">
        <is>
          <t>Sim</t>
        </is>
      </c>
      <c r="K2" s="13" t="inlineStr">
        <is>
          <t>Tela e voz</t>
        </is>
      </c>
      <c r="L2" s="13" t="inlineStr">
        <is>
          <t>Aberto</t>
        </is>
      </c>
      <c r="M2" s="13" t="inlineStr">
        <is>
          <t>Wi-fi</t>
        </is>
      </c>
      <c r="N2" s="13" t="inlineStr">
        <is>
          <t>Sim</t>
        </is>
      </c>
      <c r="O2" s="13" t="inlineStr">
        <is>
          <t>Sim</t>
        </is>
      </c>
    </row>
    <row r="3">
      <c r="A3" s="13" t="n">
        <v>2</v>
      </c>
      <c r="B3" s="13" t="inlineStr">
        <is>
          <t>Um remédio novo</t>
        </is>
      </c>
      <c r="D3" s="13" t="inlineStr">
        <is>
          <t>C2</t>
        </is>
      </c>
      <c r="E3" s="13" t="inlineStr">
        <is>
          <t>Antes do primeiro plantão</t>
        </is>
      </c>
      <c r="G3" s="13" t="inlineStr">
        <is>
          <t>Com dica</t>
        </is>
      </c>
      <c r="H3" s="13" t="inlineStr">
        <is>
          <t>Protótipo</t>
        </is>
      </c>
      <c r="I3" s="13" t="inlineStr">
        <is>
          <t>Média</t>
        </is>
      </c>
      <c r="J3" s="13" t="inlineStr">
        <is>
          <t>Não</t>
        </is>
      </c>
      <c r="K3" s="13" t="inlineStr">
        <is>
          <t>Só tela</t>
        </is>
      </c>
      <c r="L3" s="13" t="inlineStr">
        <is>
          <t>Em correção</t>
        </is>
      </c>
      <c r="M3" s="13" t="inlineStr">
        <is>
          <t>Dados móveis</t>
        </is>
      </c>
      <c r="N3" s="13" t="inlineStr">
        <is>
          <t>Às vezes</t>
        </is>
      </c>
      <c r="O3" s="13" t="inlineStr">
        <is>
          <t>Talvez</t>
        </is>
      </c>
    </row>
    <row r="4">
      <c r="A4" s="13" t="n">
        <v>3</v>
      </c>
      <c r="B4" s="13" t="inlineStr">
        <is>
          <t>Hora do almoço</t>
        </is>
      </c>
      <c r="D4" s="13" t="inlineStr">
        <is>
          <t>C3</t>
        </is>
      </c>
      <c r="E4" s="13" t="inlineStr">
        <is>
          <t>Hora do almoço</t>
        </is>
      </c>
      <c r="G4" s="13" t="inlineStr">
        <is>
          <t>Não conseguiu</t>
        </is>
      </c>
      <c r="I4" s="13" t="inlineStr">
        <is>
          <t>Baixa</t>
        </is>
      </c>
      <c r="K4" s="13" t="inlineStr">
        <is>
          <t>Só anotações</t>
        </is>
      </c>
      <c r="L4" s="13" t="inlineStr">
        <is>
          <t>Corrigido</t>
        </is>
      </c>
      <c r="M4" s="13" t="inlineStr">
        <is>
          <t>Os dois</t>
        </is>
      </c>
      <c r="N4" s="13" t="inlineStr">
        <is>
          <t>Não</t>
        </is>
      </c>
      <c r="O4" s="13" t="inlineStr">
        <is>
          <t>Não</t>
        </is>
      </c>
    </row>
    <row r="5">
      <c r="A5" s="13" t="n">
        <v>4</v>
      </c>
      <c r="B5" s="13" t="inlineStr">
        <is>
          <t>Ele não quis tomar</t>
        </is>
      </c>
      <c r="D5" s="13" t="inlineStr">
        <is>
          <t>C4</t>
        </is>
      </c>
      <c r="E5" s="13" t="inlineStr">
        <is>
          <t>Ele ficou tonto</t>
        </is>
      </c>
      <c r="L5" s="13" t="inlineStr">
        <is>
          <t>Não vamos corrigir</t>
        </is>
      </c>
      <c r="M5" s="13" t="inlineStr">
        <is>
          <t>Nenhum</t>
        </is>
      </c>
    </row>
    <row r="6">
      <c r="A6" s="13" t="n">
        <v>5</v>
      </c>
      <c r="B6" s="13" t="inlineStr">
        <is>
          <t>Ele ficou tonto</t>
        </is>
      </c>
      <c r="D6" s="13" t="inlineStr">
        <is>
          <t>C5</t>
        </is>
      </c>
      <c r="E6" s="13" t="inlineStr">
        <is>
          <t>Mudar a caminhada</t>
        </is>
      </c>
    </row>
    <row r="7">
      <c r="A7" s="13" t="n">
        <v>6</v>
      </c>
      <c r="B7" s="13" t="inlineStr">
        <is>
          <t>Como foi a noite</t>
        </is>
      </c>
      <c r="D7" s="13" t="inlineStr">
        <is>
          <t>C6</t>
        </is>
      </c>
      <c r="E7" s="13" t="inlineStr">
        <is>
          <t>Uma emergência</t>
        </is>
      </c>
    </row>
    <row r="8">
      <c r="A8" s="13" t="n">
        <v>7</v>
      </c>
      <c r="B8" s="13" t="inlineStr">
        <is>
          <t>Sair mais cedo</t>
        </is>
      </c>
      <c r="D8" s="13" t="inlineStr">
        <is>
          <t>C7</t>
        </is>
      </c>
      <c r="E8" s="13" t="inlineStr">
        <is>
          <t>Como foi a noite</t>
        </is>
      </c>
    </row>
    <row r="9">
      <c r="A9" s="13" t="n">
        <v>8</v>
      </c>
      <c r="B9" s="13" t="inlineStr">
        <is>
          <t>Uma nova cuidadora</t>
        </is>
      </c>
      <c r="D9" s="13" t="inlineStr">
        <is>
          <t>C8</t>
        </is>
      </c>
      <c r="E9" s="13" t="inlineStr">
        <is>
          <t>Sair mais cedo</t>
        </is>
      </c>
    </row>
    <row r="10">
      <c r="A10" s="13" t="n">
        <v>9</v>
      </c>
      <c r="B10" s="13" t="inlineStr">
        <is>
          <t>Uma emergência</t>
        </is>
      </c>
      <c r="D10" s="13" t="inlineStr">
        <is>
          <t>C9</t>
        </is>
      </c>
      <c r="E10" s="13" t="inlineStr">
        <is>
          <t>Corrigir um engano</t>
        </is>
      </c>
    </row>
    <row r="11">
      <c r="A11" s="13" t="n">
        <v>10</v>
      </c>
      <c r="B11" s="13" t="inlineStr">
        <is>
          <t>Corrigir um engano</t>
        </is>
      </c>
    </row>
    <row r="12">
      <c r="A12" s="13" t="n">
        <v>11</v>
      </c>
      <c r="B12" s="13" t="inlineStr">
        <is>
          <t>Cuidar de mais uma pessoa</t>
        </is>
      </c>
    </row>
    <row r="13">
      <c r="A13" s="13" t="n">
        <v>12</v>
      </c>
      <c r="B13" s="13" t="inlineStr">
        <is>
          <t>Médias para a consulta</t>
        </is>
      </c>
    </row>
    <row r="14">
      <c r="A14" s="13" t="n">
        <v>13</v>
      </c>
      <c r="B14" s="13" t="inlineStr">
        <is>
          <t>Um compromisso amanhã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3" customWidth="1" min="4" max="4"/>
    <col width="16" customWidth="1" min="5" max="5"/>
    <col width="11" customWidth="1" min="6" max="6"/>
    <col width="1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>
      <c r="A1" s="1" t="inlineStr">
        <is>
          <t>Participantes família</t>
        </is>
      </c>
    </row>
    <row r="2">
      <c r="A2" s="6" t="inlineStr">
        <is>
          <t>Respostas das perguntas do início do roteiro. Uma linha por pessoa.</t>
        </is>
      </c>
    </row>
    <row r="4" ht="42" customHeight="1">
      <c r="A4" s="8" t="inlineStr">
        <is>
          <t>ID</t>
        </is>
      </c>
      <c r="B4" s="8" t="inlineStr">
        <is>
          <t>Grupo</t>
        </is>
      </c>
      <c r="C4" s="8" t="inlineStr">
        <is>
          <t>Nome ou apelido</t>
        </is>
      </c>
      <c r="D4" s="8" t="inlineStr">
        <is>
          <t>Data do teste</t>
        </is>
      </c>
      <c r="E4" s="8" t="inlineStr">
        <is>
          <t>Quem conduziu</t>
        </is>
      </c>
      <c r="F4" s="8" t="inlineStr">
        <is>
          <t>Termo assinado?</t>
        </is>
      </c>
      <c r="G4" s="8" t="inlineStr">
        <is>
          <t>Gravação autorizada</t>
        </is>
      </c>
      <c r="H4" s="8" t="inlineStr">
        <is>
          <t>Idade (aprox.)</t>
        </is>
      </c>
      <c r="I4" s="8" t="inlineStr">
        <is>
          <t>Cuida ou já cuidou de alguém? De quem, há quanto tempo</t>
        </is>
      </c>
      <c r="J4" s="8" t="inlineStr">
        <is>
          <t>Se cuida: dias por semana, mora junto, divide com alguém?</t>
        </is>
      </c>
      <c r="K4" s="8" t="inlineStr">
        <is>
          <t>Celular (Android/iPhone) e usa óculos?</t>
        </is>
      </c>
      <c r="L4" s="8" t="inlineStr">
        <is>
          <t>Tamanho da letra no celular (1–5)</t>
        </is>
      </c>
      <c r="M4" s="8" t="inlineStr">
        <is>
          <t>Internet onde mais usa o celular (wi-fi, dados, os dois?)</t>
        </is>
      </c>
      <c r="N4" s="8" t="inlineStr">
        <is>
          <t>Sinal onde mais fica (1–5)</t>
        </is>
      </c>
      <c r="O4" s="8" t="inlineStr">
        <is>
          <t>Ficou sem internet em algo importante? Onde?</t>
        </is>
      </c>
      <c r="P4" s="8" t="inlineStr">
        <is>
          <t>Dados móveis acabam antes do fim do mês?</t>
        </is>
      </c>
      <c r="Q4" s="8" t="inlineStr">
        <is>
          <t>Apps que usa todo dia</t>
        </is>
      </c>
      <c r="R4" s="8" t="inlineStr">
        <is>
          <t>À vontade com celular (1–5)</t>
        </is>
      </c>
      <c r="S4" s="8" t="inlineStr">
        <is>
          <t>Como combina remédios, horários e consultas (se cuida)</t>
        </is>
      </c>
      <c r="T4" s="8" t="inlineStr">
        <is>
          <t>Já usou app de saúde ou lembrete? O que achou</t>
        </is>
      </c>
    </row>
    <row r="5">
      <c r="A5" s="14" t="inlineStr">
        <is>
          <t>F1</t>
        </is>
      </c>
      <c r="B5" s="14" t="inlineStr">
        <is>
          <t>Família</t>
        </is>
      </c>
      <c r="C5" s="14" t="n"/>
      <c r="D5" s="15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</row>
    <row r="6">
      <c r="A6" s="14" t="inlineStr">
        <is>
          <t>F2</t>
        </is>
      </c>
      <c r="B6" s="14" t="inlineStr">
        <is>
          <t>Família</t>
        </is>
      </c>
      <c r="C6" s="14" t="n"/>
      <c r="D6" s="15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</row>
    <row r="7">
      <c r="A7" s="14" t="inlineStr">
        <is>
          <t>F3</t>
        </is>
      </c>
      <c r="B7" s="14" t="inlineStr">
        <is>
          <t>Família</t>
        </is>
      </c>
      <c r="C7" s="14" t="n"/>
      <c r="D7" s="15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</row>
    <row r="8">
      <c r="A8" s="14" t="inlineStr">
        <is>
          <t>F4</t>
        </is>
      </c>
      <c r="B8" s="14" t="inlineStr">
        <is>
          <t>Família</t>
        </is>
      </c>
      <c r="C8" s="14" t="n"/>
      <c r="D8" s="15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</row>
    <row r="9">
      <c r="A9" s="14" t="n"/>
      <c r="B9" s="14" t="n"/>
      <c r="C9" s="14" t="n"/>
      <c r="D9" s="15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</row>
    <row r="10">
      <c r="A10" s="14" t="n"/>
      <c r="B10" s="14" t="n"/>
      <c r="C10" s="14" t="n"/>
      <c r="D10" s="15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</row>
    <row r="11">
      <c r="A11" s="14" t="n"/>
      <c r="B11" s="14" t="n"/>
      <c r="C11" s="14" t="n"/>
      <c r="D11" s="15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</row>
    <row r="12">
      <c r="A12" s="14" t="n"/>
      <c r="B12" s="14" t="n"/>
      <c r="C12" s="14" t="n"/>
      <c r="D12" s="15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</row>
    <row r="13">
      <c r="A13" s="14" t="n"/>
      <c r="B13" s="14" t="n"/>
      <c r="C13" s="14" t="n"/>
      <c r="D13" s="15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</row>
    <row r="14">
      <c r="A14" s="14" t="n"/>
      <c r="B14" s="14" t="n"/>
      <c r="C14" s="14" t="n"/>
      <c r="D14" s="15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</row>
    <row r="15">
      <c r="A15" s="14" t="n"/>
      <c r="B15" s="14" t="n"/>
      <c r="C15" s="14" t="n"/>
      <c r="D15" s="15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</row>
    <row r="16">
      <c r="A16" s="14" t="n"/>
      <c r="B16" s="14" t="n"/>
      <c r="C16" s="14" t="n"/>
      <c r="D16" s="15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</row>
    <row r="17">
      <c r="A17" s="14" t="n"/>
      <c r="B17" s="14" t="n"/>
      <c r="C17" s="14" t="n"/>
      <c r="D17" s="15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</row>
    <row r="18">
      <c r="A18" s="14" t="n"/>
      <c r="B18" s="14" t="n"/>
      <c r="C18" s="14" t="n"/>
      <c r="D18" s="15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</row>
    <row r="19">
      <c r="A19" s="14" t="n"/>
      <c r="B19" s="14" t="n"/>
      <c r="C19" s="14" t="n"/>
      <c r="D19" s="15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</row>
    <row r="20">
      <c r="A20" s="14" t="n"/>
      <c r="B20" s="14" t="n"/>
      <c r="C20" s="14" t="n"/>
      <c r="D20" s="15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</row>
    <row r="21">
      <c r="A21" s="14" t="n"/>
      <c r="B21" s="14" t="n"/>
      <c r="C21" s="14" t="n"/>
      <c r="D21" s="15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</row>
    <row r="22">
      <c r="A22" s="14" t="n"/>
      <c r="B22" s="14" t="n"/>
      <c r="C22" s="14" t="n"/>
      <c r="D22" s="15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</row>
    <row r="23">
      <c r="A23" s="14" t="n"/>
      <c r="B23" s="14" t="n"/>
      <c r="C23" s="14" t="n"/>
      <c r="D23" s="15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</row>
    <row r="24">
      <c r="A24" s="14" t="n"/>
      <c r="B24" s="14" t="n"/>
      <c r="C24" s="14" t="n"/>
      <c r="D24" s="15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</row>
    <row r="25">
      <c r="A25" s="14" t="n"/>
      <c r="B25" s="14" t="n"/>
      <c r="C25" s="14" t="n"/>
      <c r="D25" s="15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</row>
    <row r="26">
      <c r="A26" s="14" t="n"/>
      <c r="B26" s="14" t="n"/>
      <c r="C26" s="14" t="n"/>
      <c r="D26" s="15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</row>
    <row r="27">
      <c r="A27" s="14" t="n"/>
      <c r="B27" s="14" t="n"/>
      <c r="C27" s="14" t="n"/>
      <c r="D27" s="15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</row>
    <row r="28">
      <c r="A28" s="14" t="n"/>
      <c r="B28" s="14" t="n"/>
      <c r="C28" s="14" t="n"/>
      <c r="D28" s="15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</row>
    <row r="29">
      <c r="A29" s="14" t="n"/>
      <c r="B29" s="14" t="n"/>
      <c r="C29" s="14" t="n"/>
      <c r="D29" s="15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</row>
    <row r="30">
      <c r="A30" s="14" t="n"/>
      <c r="B30" s="14" t="n"/>
      <c r="C30" s="14" t="n"/>
      <c r="D30" s="15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</row>
    <row r="31">
      <c r="A31" s="14" t="n"/>
      <c r="B31" s="14" t="n"/>
      <c r="C31" s="14" t="n"/>
      <c r="D31" s="15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</row>
    <row r="32">
      <c r="A32" s="14" t="n"/>
      <c r="B32" s="14" t="n"/>
      <c r="C32" s="14" t="n"/>
      <c r="D32" s="15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</row>
    <row r="33">
      <c r="A33" s="14" t="n"/>
      <c r="B33" s="14" t="n"/>
      <c r="C33" s="14" t="n"/>
      <c r="D33" s="15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</row>
    <row r="34">
      <c r="A34" s="14" t="n"/>
      <c r="B34" s="14" t="n"/>
      <c r="C34" s="14" t="n"/>
      <c r="D34" s="15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</row>
    <row r="35">
      <c r="A35" s="14" t="n"/>
      <c r="B35" s="14" t="n"/>
      <c r="C35" s="14" t="n"/>
      <c r="D35" s="15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</row>
    <row r="36">
      <c r="A36" s="14" t="n"/>
      <c r="B36" s="14" t="n"/>
      <c r="C36" s="14" t="n"/>
      <c r="D36" s="15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</row>
    <row r="37">
      <c r="A37" s="14" t="n"/>
      <c r="B37" s="14" t="n"/>
      <c r="C37" s="14" t="n"/>
      <c r="D37" s="15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</row>
    <row r="38">
      <c r="A38" s="14" t="n"/>
      <c r="B38" s="14" t="n"/>
      <c r="C38" s="14" t="n"/>
      <c r="D38" s="15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</row>
    <row r="39">
      <c r="A39" s="14" t="n"/>
      <c r="B39" s="14" t="n"/>
      <c r="C39" s="14" t="n"/>
      <c r="D39" s="15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</row>
    <row r="40">
      <c r="A40" s="14" t="n"/>
      <c r="B40" s="14" t="n"/>
      <c r="C40" s="14" t="n"/>
      <c r="D40" s="15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</row>
    <row r="41">
      <c r="A41" s="14" t="n"/>
      <c r="B41" s="14" t="n"/>
      <c r="C41" s="14" t="n"/>
      <c r="D41" s="15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</row>
    <row r="42">
      <c r="A42" s="14" t="n"/>
      <c r="B42" s="14" t="n"/>
      <c r="C42" s="14" t="n"/>
      <c r="D42" s="15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</row>
    <row r="43">
      <c r="A43" s="14" t="n"/>
      <c r="B43" s="14" t="n"/>
      <c r="C43" s="14" t="n"/>
      <c r="D43" s="15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</row>
    <row r="44">
      <c r="A44" s="14" t="n"/>
      <c r="B44" s="14" t="n"/>
      <c r="C44" s="14" t="n"/>
      <c r="D44" s="15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</row>
  </sheetData>
  <dataValidations count="7">
    <dataValidation sqref="F5:F44" showDropDown="0" showInputMessage="0" showErrorMessage="0" allowBlank="1" type="list">
      <formula1>=Listas!$J$2:$J$3</formula1>
    </dataValidation>
    <dataValidation sqref="G5:G44" showDropDown="0" showInputMessage="0" showErrorMessage="0" allowBlank="1" type="list">
      <formula1>=Listas!$K$2:$K$4</formula1>
    </dataValidation>
    <dataValidation sqref="R5:R44" showDropDown="0" showInputMessage="0" showErrorMessage="0" allowBlank="1" error="Use um número de 1 a 5." type="whole" operator="between">
      <formula1>1</formula1>
      <formula2>5</formula2>
    </dataValidation>
    <dataValidation sqref="L5:L44" showDropDown="0" showInputMessage="0" showErrorMessage="0" allowBlank="1" error="Use um número de 1 a 5." type="whole" operator="between">
      <formula1>1</formula1>
      <formula2>5</formula2>
    </dataValidation>
    <dataValidation sqref="M5:M44" showDropDown="0" showInputMessage="0" showErrorMessage="0" allowBlank="1" type="list">
      <formula1>=Listas!$M$2:$M$5</formula1>
    </dataValidation>
    <dataValidation sqref="N5:N44" showDropDown="0" showInputMessage="0" showErrorMessage="0" allowBlank="1" error="Use um número de 1 a 5." type="whole" operator="between">
      <formula1>1</formula1>
      <formula2>5</formula2>
    </dataValidation>
    <dataValidation sqref="P5:P44" showDropDown="0" showInputMessage="0" showErrorMessage="0" allowBlank="1" type="list">
      <formula1>=Listas!$N$2:$N$4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3" customWidth="1" min="4" max="4"/>
    <col width="16" customWidth="1" min="5" max="5"/>
    <col width="11" customWidth="1" min="6" max="6"/>
    <col width="1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>
      <c r="A1" s="1" t="inlineStr">
        <is>
          <t>Participantes cuidadoras</t>
        </is>
      </c>
    </row>
    <row r="2">
      <c r="A2" s="6" t="inlineStr">
        <is>
          <t>Respostas das perguntas do início do roteiro. Uma linha por pessoa.</t>
        </is>
      </c>
    </row>
    <row r="4" ht="42" customHeight="1">
      <c r="A4" s="8" t="inlineStr">
        <is>
          <t>ID</t>
        </is>
      </c>
      <c r="B4" s="8" t="inlineStr">
        <is>
          <t>Grupo</t>
        </is>
      </c>
      <c r="C4" s="8" t="inlineStr">
        <is>
          <t>Nome ou apelido</t>
        </is>
      </c>
      <c r="D4" s="8" t="inlineStr">
        <is>
          <t>Data do teste</t>
        </is>
      </c>
      <c r="E4" s="8" t="inlineStr">
        <is>
          <t>Quem conduziu</t>
        </is>
      </c>
      <c r="F4" s="8" t="inlineStr">
        <is>
          <t>Termo assinado?</t>
        </is>
      </c>
      <c r="G4" s="8" t="inlineStr">
        <is>
          <t>Gravação autorizada</t>
        </is>
      </c>
      <c r="H4" s="8" t="inlineStr">
        <is>
          <t>Idade (aprox.)</t>
        </is>
      </c>
      <c r="I4" s="8" t="inlineStr">
        <is>
          <t>Trabalha ou já trabalhou cuidando? Há quanto tempo, formação</t>
        </is>
      </c>
      <c r="J4" s="8" t="inlineStr">
        <is>
          <t>Se cuida: quantas pessoas hoje / já usou app no trabalho?</t>
        </is>
      </c>
      <c r="K4" s="8" t="inlineStr">
        <is>
          <t>Se cuida: celular próprio ou da casa?</t>
        </is>
      </c>
      <c r="L4" s="8" t="inlineStr">
        <is>
          <t>Internet onde passa o dia (wi-fi, dados, os dois?)</t>
        </is>
      </c>
      <c r="M4" s="8" t="inlineStr">
        <is>
          <t>Sinal onde passa o dia (1–5)</t>
        </is>
      </c>
      <c r="N4" s="8" t="inlineStr">
        <is>
          <t>Ficou sem internet em algo importante? Onde?</t>
        </is>
      </c>
      <c r="O4" s="8" t="inlineStr">
        <is>
          <t>Dados móveis acabam antes do fim do mês?</t>
        </is>
      </c>
      <c r="P4" s="8" t="inlineStr">
        <is>
          <t>Celular (Android/iPhone) e usa óculos?</t>
        </is>
      </c>
      <c r="Q4" s="8" t="inlineStr">
        <is>
          <t>Tamanho da letra no celular (1–5)</t>
        </is>
      </c>
      <c r="R4" s="8" t="inlineStr">
        <is>
          <t>À vontade com celular (1–5)</t>
        </is>
      </c>
      <c r="S4" s="8" t="inlineStr">
        <is>
          <t>Se cuida: como recebe orientações e registra o dia</t>
        </is>
      </c>
      <c r="T4" s="8" t="inlineStr">
        <is>
          <t>Se cuida: o que gera mal-entendido ao passar o cuidado</t>
        </is>
      </c>
    </row>
    <row r="5">
      <c r="A5" s="14" t="inlineStr">
        <is>
          <t>CU1</t>
        </is>
      </c>
      <c r="B5" s="14" t="inlineStr">
        <is>
          <t>Cuidadora</t>
        </is>
      </c>
      <c r="C5" s="14" t="n"/>
      <c r="D5" s="15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</row>
    <row r="6">
      <c r="A6" s="14" t="inlineStr">
        <is>
          <t>CU2</t>
        </is>
      </c>
      <c r="B6" s="14" t="inlineStr">
        <is>
          <t>Cuidadora</t>
        </is>
      </c>
      <c r="C6" s="14" t="n"/>
      <c r="D6" s="15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</row>
    <row r="7">
      <c r="A7" s="14" t="inlineStr">
        <is>
          <t>CU3</t>
        </is>
      </c>
      <c r="B7" s="14" t="inlineStr">
        <is>
          <t>Cuidadora</t>
        </is>
      </c>
      <c r="C7" s="14" t="n"/>
      <c r="D7" s="15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</row>
    <row r="8">
      <c r="A8" s="14" t="n"/>
      <c r="B8" s="14" t="n"/>
      <c r="C8" s="14" t="n"/>
      <c r="D8" s="15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</row>
    <row r="9">
      <c r="A9" s="14" t="n"/>
      <c r="B9" s="14" t="n"/>
      <c r="C9" s="14" t="n"/>
      <c r="D9" s="15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</row>
    <row r="10">
      <c r="A10" s="14" t="n"/>
      <c r="B10" s="14" t="n"/>
      <c r="C10" s="14" t="n"/>
      <c r="D10" s="15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</row>
    <row r="11">
      <c r="A11" s="14" t="n"/>
      <c r="B11" s="14" t="n"/>
      <c r="C11" s="14" t="n"/>
      <c r="D11" s="15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</row>
    <row r="12">
      <c r="A12" s="14" t="n"/>
      <c r="B12" s="14" t="n"/>
      <c r="C12" s="14" t="n"/>
      <c r="D12" s="15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</row>
    <row r="13">
      <c r="A13" s="14" t="n"/>
      <c r="B13" s="14" t="n"/>
      <c r="C13" s="14" t="n"/>
      <c r="D13" s="15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</row>
    <row r="14">
      <c r="A14" s="14" t="n"/>
      <c r="B14" s="14" t="n"/>
      <c r="C14" s="14" t="n"/>
      <c r="D14" s="15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</row>
    <row r="15">
      <c r="A15" s="14" t="n"/>
      <c r="B15" s="14" t="n"/>
      <c r="C15" s="14" t="n"/>
      <c r="D15" s="15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</row>
    <row r="16">
      <c r="A16" s="14" t="n"/>
      <c r="B16" s="14" t="n"/>
      <c r="C16" s="14" t="n"/>
      <c r="D16" s="15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</row>
    <row r="17">
      <c r="A17" s="14" t="n"/>
      <c r="B17" s="14" t="n"/>
      <c r="C17" s="14" t="n"/>
      <c r="D17" s="15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</row>
    <row r="18">
      <c r="A18" s="14" t="n"/>
      <c r="B18" s="14" t="n"/>
      <c r="C18" s="14" t="n"/>
      <c r="D18" s="15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</row>
    <row r="19">
      <c r="A19" s="14" t="n"/>
      <c r="B19" s="14" t="n"/>
      <c r="C19" s="14" t="n"/>
      <c r="D19" s="15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</row>
    <row r="20">
      <c r="A20" s="14" t="n"/>
      <c r="B20" s="14" t="n"/>
      <c r="C20" s="14" t="n"/>
      <c r="D20" s="15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</row>
    <row r="21">
      <c r="A21" s="14" t="n"/>
      <c r="B21" s="14" t="n"/>
      <c r="C21" s="14" t="n"/>
      <c r="D21" s="15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</row>
    <row r="22">
      <c r="A22" s="14" t="n"/>
      <c r="B22" s="14" t="n"/>
      <c r="C22" s="14" t="n"/>
      <c r="D22" s="15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</row>
    <row r="23">
      <c r="A23" s="14" t="n"/>
      <c r="B23" s="14" t="n"/>
      <c r="C23" s="14" t="n"/>
      <c r="D23" s="15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</row>
    <row r="24">
      <c r="A24" s="14" t="n"/>
      <c r="B24" s="14" t="n"/>
      <c r="C24" s="14" t="n"/>
      <c r="D24" s="15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</row>
    <row r="25">
      <c r="A25" s="14" t="n"/>
      <c r="B25" s="14" t="n"/>
      <c r="C25" s="14" t="n"/>
      <c r="D25" s="15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</row>
    <row r="26">
      <c r="A26" s="14" t="n"/>
      <c r="B26" s="14" t="n"/>
      <c r="C26" s="14" t="n"/>
      <c r="D26" s="15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</row>
    <row r="27">
      <c r="A27" s="14" t="n"/>
      <c r="B27" s="14" t="n"/>
      <c r="C27" s="14" t="n"/>
      <c r="D27" s="15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</row>
    <row r="28">
      <c r="A28" s="14" t="n"/>
      <c r="B28" s="14" t="n"/>
      <c r="C28" s="14" t="n"/>
      <c r="D28" s="15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</row>
    <row r="29">
      <c r="A29" s="14" t="n"/>
      <c r="B29" s="14" t="n"/>
      <c r="C29" s="14" t="n"/>
      <c r="D29" s="15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</row>
    <row r="30">
      <c r="A30" s="14" t="n"/>
      <c r="B30" s="14" t="n"/>
      <c r="C30" s="14" t="n"/>
      <c r="D30" s="15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</row>
    <row r="31">
      <c r="A31" s="14" t="n"/>
      <c r="B31" s="14" t="n"/>
      <c r="C31" s="14" t="n"/>
      <c r="D31" s="15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</row>
    <row r="32">
      <c r="A32" s="14" t="n"/>
      <c r="B32" s="14" t="n"/>
      <c r="C32" s="14" t="n"/>
      <c r="D32" s="15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</row>
    <row r="33">
      <c r="A33" s="14" t="n"/>
      <c r="B33" s="14" t="n"/>
      <c r="C33" s="14" t="n"/>
      <c r="D33" s="15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</row>
    <row r="34">
      <c r="A34" s="14" t="n"/>
      <c r="B34" s="14" t="n"/>
      <c r="C34" s="14" t="n"/>
      <c r="D34" s="15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</row>
    <row r="35">
      <c r="A35" s="14" t="n"/>
      <c r="B35" s="14" t="n"/>
      <c r="C35" s="14" t="n"/>
      <c r="D35" s="15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</row>
    <row r="36">
      <c r="A36" s="14" t="n"/>
      <c r="B36" s="14" t="n"/>
      <c r="C36" s="14" t="n"/>
      <c r="D36" s="15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</row>
    <row r="37">
      <c r="A37" s="14" t="n"/>
      <c r="B37" s="14" t="n"/>
      <c r="C37" s="14" t="n"/>
      <c r="D37" s="15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</row>
    <row r="38">
      <c r="A38" s="14" t="n"/>
      <c r="B38" s="14" t="n"/>
      <c r="C38" s="14" t="n"/>
      <c r="D38" s="15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</row>
    <row r="39">
      <c r="A39" s="14" t="n"/>
      <c r="B39" s="14" t="n"/>
      <c r="C39" s="14" t="n"/>
      <c r="D39" s="15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</row>
    <row r="40">
      <c r="A40" s="14" t="n"/>
      <c r="B40" s="14" t="n"/>
      <c r="C40" s="14" t="n"/>
      <c r="D40" s="15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</row>
    <row r="41">
      <c r="A41" s="14" t="n"/>
      <c r="B41" s="14" t="n"/>
      <c r="C41" s="14" t="n"/>
      <c r="D41" s="15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</row>
    <row r="42">
      <c r="A42" s="14" t="n"/>
      <c r="B42" s="14" t="n"/>
      <c r="C42" s="14" t="n"/>
      <c r="D42" s="15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</row>
    <row r="43">
      <c r="A43" s="14" t="n"/>
      <c r="B43" s="14" t="n"/>
      <c r="C43" s="14" t="n"/>
      <c r="D43" s="15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</row>
    <row r="44">
      <c r="A44" s="14" t="n"/>
      <c r="B44" s="14" t="n"/>
      <c r="C44" s="14" t="n"/>
      <c r="D44" s="15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</row>
  </sheetData>
  <dataValidations count="7">
    <dataValidation sqref="F5:F44" showDropDown="0" showInputMessage="0" showErrorMessage="0" allowBlank="1" type="list">
      <formula1>=Listas!$J$2:$J$3</formula1>
    </dataValidation>
    <dataValidation sqref="G5:G44" showDropDown="0" showInputMessage="0" showErrorMessage="0" allowBlank="1" type="list">
      <formula1>=Listas!$K$2:$K$4</formula1>
    </dataValidation>
    <dataValidation sqref="R5:R44" showDropDown="0" showInputMessage="0" showErrorMessage="0" allowBlank="1" error="Use um número de 1 a 5." type="whole" operator="between">
      <formula1>1</formula1>
      <formula2>5</formula2>
    </dataValidation>
    <dataValidation sqref="Q5:Q44" showDropDown="0" showInputMessage="0" showErrorMessage="0" allowBlank="1" error="Use um número de 1 a 5." type="whole" operator="between">
      <formula1>1</formula1>
      <formula2>5</formula2>
    </dataValidation>
    <dataValidation sqref="L5:L44" showDropDown="0" showInputMessage="0" showErrorMessage="0" allowBlank="1" type="list">
      <formula1>=Listas!$M$2:$M$5</formula1>
    </dataValidation>
    <dataValidation sqref="M5:M44" showDropDown="0" showInputMessage="0" showErrorMessage="0" allowBlank="1" error="Use um número de 1 a 5." type="whole" operator="between">
      <formula1>1</formula1>
      <formula2>5</formula2>
    </dataValidation>
    <dataValidation sqref="O5:O44" showDropDown="0" showInputMessage="0" showErrorMessage="0" allowBlank="1" type="list">
      <formula1>=Listas!$N$2:$N$4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24" customWidth="1" min="3" max="3"/>
    <col width="9" customWidth="1" min="4" max="4"/>
    <col width="9" customWidth="1" min="5" max="5"/>
    <col width="11" customWidth="1" min="6" max="6"/>
    <col width="14" customWidth="1" min="7" max="7"/>
    <col width="11" customWidth="1" min="8" max="8"/>
    <col width="30" customWidth="1" min="9" max="9"/>
    <col width="22" customWidth="1" min="10" max="10"/>
    <col width="34" customWidth="1" min="11" max="11"/>
    <col width="11" customWidth="1" min="12" max="12"/>
    <col width="11" customWidth="1" min="13" max="13"/>
    <col width="28" customWidth="1" min="14" max="14"/>
    <col width="14" customWidth="1" min="15" max="15"/>
  </cols>
  <sheetData>
    <row r="1">
      <c r="A1" s="1" t="inlineStr">
        <is>
          <t>Tarefas família</t>
        </is>
      </c>
    </row>
    <row r="2">
      <c r="A2" s="6" t="inlineStr">
        <is>
          <t>Uma linha por pessoa e tarefa. Amarelo = preencher. Nome da tarefa e tempo total se calculam.</t>
        </is>
      </c>
    </row>
    <row r="4" ht="42" customHeight="1">
      <c r="A4" s="8" t="inlineStr">
        <is>
          <t>ID</t>
        </is>
      </c>
      <c r="B4" s="8" t="inlineStr">
        <is>
          <t>Tarefa</t>
        </is>
      </c>
      <c r="C4" s="8" t="inlineStr">
        <is>
          <t>Nome da tarefa</t>
        </is>
      </c>
      <c r="D4" s="8" t="inlineStr">
        <is>
          <t>Minutos</t>
        </is>
      </c>
      <c r="E4" s="8" t="inlineStr">
        <is>
          <t>Segundos</t>
        </is>
      </c>
      <c r="F4" s="8" t="inlineStr">
        <is>
          <t>Tempo total (s)</t>
        </is>
      </c>
      <c r="G4" s="8" t="inlineStr">
        <is>
          <t>Resultado</t>
        </is>
      </c>
      <c r="H4" s="8" t="inlineStr">
        <is>
          <t>Facilidade (1–5)</t>
        </is>
      </c>
      <c r="I4" s="8" t="inlineStr">
        <is>
          <t>Onde travou ou tocou</t>
        </is>
      </c>
      <c r="J4" s="8" t="inlineStr">
        <is>
          <t>Palavras que usou</t>
        </is>
      </c>
      <c r="K4" s="8" t="inlineStr">
        <is>
          <t>Problema observado</t>
        </is>
      </c>
      <c r="L4" s="8" t="inlineStr">
        <is>
          <t>Tipo</t>
        </is>
      </c>
      <c r="M4" s="8" t="inlineStr">
        <is>
          <t>Gravidade</t>
        </is>
      </c>
      <c r="N4" s="8" t="inlineStr">
        <is>
          <t>Observações</t>
        </is>
      </c>
      <c r="O4" s="8" t="inlineStr">
        <is>
          <t>Ordem em que fez (1º, 2º…)</t>
        </is>
      </c>
    </row>
    <row r="5">
      <c r="A5" s="16" t="inlineStr">
        <is>
          <t>F1</t>
        </is>
      </c>
      <c r="B5" s="17" t="n">
        <v>1</v>
      </c>
      <c r="C5" s="18">
        <f>IF(B5="","",IFERROR(INDEX(Listas!$B$2:$B$14,MATCH(B5,Listas!$A$2:$A$14,0)),"?"))</f>
        <v/>
      </c>
      <c r="D5" s="17" t="n"/>
      <c r="E5" s="17" t="n"/>
      <c r="F5" s="18">
        <f>IF(AND(D5="",E5=""),"",D5*60+E5)</f>
        <v/>
      </c>
      <c r="G5" s="17" t="n"/>
      <c r="H5" s="17" t="n"/>
      <c r="I5" s="17" t="n"/>
      <c r="J5" s="17" t="n"/>
      <c r="K5" s="17" t="n"/>
      <c r="L5" s="17" t="n"/>
      <c r="M5" s="17" t="n"/>
      <c r="N5" s="17" t="n"/>
      <c r="O5" s="19" t="n"/>
    </row>
    <row r="6">
      <c r="A6" s="20" t="inlineStr">
        <is>
          <t>F1</t>
        </is>
      </c>
      <c r="B6" s="14" t="n">
        <v>2</v>
      </c>
      <c r="C6" s="21">
        <f>IF(B6="","",IFERROR(INDEX(Listas!$B$2:$B$14,MATCH(B6,Listas!$A$2:$A$14,0)),"?"))</f>
        <v/>
      </c>
      <c r="D6" s="14" t="n"/>
      <c r="E6" s="14" t="n"/>
      <c r="F6" s="21">
        <f>IF(AND(D6="",E6=""),"",D6*60+E6)</f>
        <v/>
      </c>
      <c r="G6" s="14" t="n"/>
      <c r="H6" s="14" t="n"/>
      <c r="I6" s="14" t="n"/>
      <c r="J6" s="14" t="n"/>
      <c r="K6" s="14" t="n"/>
      <c r="L6" s="14" t="n"/>
      <c r="M6" s="14" t="n"/>
      <c r="N6" s="14" t="n"/>
      <c r="O6" s="22" t="n"/>
    </row>
    <row r="7">
      <c r="A7" s="20" t="inlineStr">
        <is>
          <t>F1</t>
        </is>
      </c>
      <c r="B7" s="14" t="n">
        <v>3</v>
      </c>
      <c r="C7" s="21">
        <f>IF(B7="","",IFERROR(INDEX(Listas!$B$2:$B$14,MATCH(B7,Listas!$A$2:$A$14,0)),"?"))</f>
        <v/>
      </c>
      <c r="D7" s="14" t="n"/>
      <c r="E7" s="14" t="n"/>
      <c r="F7" s="21">
        <f>IF(AND(D7="",E7=""),"",D7*60+E7)</f>
        <v/>
      </c>
      <c r="G7" s="14" t="n"/>
      <c r="H7" s="14" t="n"/>
      <c r="I7" s="14" t="n"/>
      <c r="J7" s="14" t="n"/>
      <c r="K7" s="14" t="n"/>
      <c r="L7" s="14" t="n"/>
      <c r="M7" s="14" t="n"/>
      <c r="N7" s="14" t="n"/>
      <c r="O7" s="22" t="n"/>
    </row>
    <row r="8">
      <c r="A8" s="20" t="inlineStr">
        <is>
          <t>F1</t>
        </is>
      </c>
      <c r="B8" s="14" t="n">
        <v>4</v>
      </c>
      <c r="C8" s="21">
        <f>IF(B8="","",IFERROR(INDEX(Listas!$B$2:$B$14,MATCH(B8,Listas!$A$2:$A$14,0)),"?"))</f>
        <v/>
      </c>
      <c r="D8" s="14" t="n"/>
      <c r="E8" s="14" t="n"/>
      <c r="F8" s="21">
        <f>IF(AND(D8="",E8=""),"",D8*60+E8)</f>
        <v/>
      </c>
      <c r="G8" s="14" t="n"/>
      <c r="H8" s="14" t="n"/>
      <c r="I8" s="14" t="n"/>
      <c r="J8" s="14" t="n"/>
      <c r="K8" s="14" t="n"/>
      <c r="L8" s="14" t="n"/>
      <c r="M8" s="14" t="n"/>
      <c r="N8" s="14" t="n"/>
      <c r="O8" s="22" t="n"/>
    </row>
    <row r="9">
      <c r="A9" s="20" t="inlineStr">
        <is>
          <t>F1</t>
        </is>
      </c>
      <c r="B9" s="14" t="n">
        <v>5</v>
      </c>
      <c r="C9" s="21">
        <f>IF(B9="","",IFERROR(INDEX(Listas!$B$2:$B$14,MATCH(B9,Listas!$A$2:$A$14,0)),"?"))</f>
        <v/>
      </c>
      <c r="D9" s="14" t="n"/>
      <c r="E9" s="14" t="n"/>
      <c r="F9" s="21">
        <f>IF(AND(D9="",E9=""),"",D9*60+E9)</f>
        <v/>
      </c>
      <c r="G9" s="14" t="n"/>
      <c r="H9" s="14" t="n"/>
      <c r="I9" s="14" t="n"/>
      <c r="J9" s="14" t="n"/>
      <c r="K9" s="14" t="n"/>
      <c r="L9" s="14" t="n"/>
      <c r="M9" s="14" t="n"/>
      <c r="N9" s="14" t="n"/>
      <c r="O9" s="22" t="n"/>
    </row>
    <row r="10">
      <c r="A10" s="20" t="inlineStr">
        <is>
          <t>F1</t>
        </is>
      </c>
      <c r="B10" s="14" t="n">
        <v>6</v>
      </c>
      <c r="C10" s="21">
        <f>IF(B10="","",IFERROR(INDEX(Listas!$B$2:$B$14,MATCH(B10,Listas!$A$2:$A$14,0)),"?"))</f>
        <v/>
      </c>
      <c r="D10" s="14" t="n"/>
      <c r="E10" s="14" t="n"/>
      <c r="F10" s="21">
        <f>IF(AND(D10="",E10=""),"",D10*60+E10)</f>
        <v/>
      </c>
      <c r="G10" s="14" t="n"/>
      <c r="H10" s="14" t="n"/>
      <c r="I10" s="14" t="n"/>
      <c r="J10" s="14" t="n"/>
      <c r="K10" s="14" t="n"/>
      <c r="L10" s="14" t="n"/>
      <c r="M10" s="14" t="n"/>
      <c r="N10" s="14" t="n"/>
      <c r="O10" s="22" t="n"/>
    </row>
    <row r="11">
      <c r="A11" s="20" t="inlineStr">
        <is>
          <t>F1</t>
        </is>
      </c>
      <c r="B11" s="14" t="n">
        <v>7</v>
      </c>
      <c r="C11" s="21">
        <f>IF(B11="","",IFERROR(INDEX(Listas!$B$2:$B$14,MATCH(B11,Listas!$A$2:$A$14,0)),"?"))</f>
        <v/>
      </c>
      <c r="D11" s="14" t="n"/>
      <c r="E11" s="14" t="n"/>
      <c r="F11" s="21">
        <f>IF(AND(D11="",E11=""),"",D11*60+E11)</f>
        <v/>
      </c>
      <c r="G11" s="14" t="n"/>
      <c r="H11" s="14" t="n"/>
      <c r="I11" s="14" t="n"/>
      <c r="J11" s="14" t="n"/>
      <c r="K11" s="14" t="n"/>
      <c r="L11" s="14" t="n"/>
      <c r="M11" s="14" t="n"/>
      <c r="N11" s="14" t="n"/>
      <c r="O11" s="22" t="n"/>
    </row>
    <row r="12">
      <c r="A12" s="20" t="inlineStr">
        <is>
          <t>F1</t>
        </is>
      </c>
      <c r="B12" s="14" t="n">
        <v>8</v>
      </c>
      <c r="C12" s="21">
        <f>IF(B12="","",IFERROR(INDEX(Listas!$B$2:$B$14,MATCH(B12,Listas!$A$2:$A$14,0)),"?"))</f>
        <v/>
      </c>
      <c r="D12" s="14" t="n"/>
      <c r="E12" s="14" t="n"/>
      <c r="F12" s="21">
        <f>IF(AND(D12="",E12=""),"",D12*60+E12)</f>
        <v/>
      </c>
      <c r="G12" s="14" t="n"/>
      <c r="H12" s="14" t="n"/>
      <c r="I12" s="14" t="n"/>
      <c r="J12" s="14" t="n"/>
      <c r="K12" s="14" t="n"/>
      <c r="L12" s="14" t="n"/>
      <c r="M12" s="14" t="n"/>
      <c r="N12" s="14" t="n"/>
      <c r="O12" s="22" t="n"/>
    </row>
    <row r="13">
      <c r="A13" s="20" t="inlineStr">
        <is>
          <t>F1</t>
        </is>
      </c>
      <c r="B13" s="14" t="n">
        <v>9</v>
      </c>
      <c r="C13" s="21">
        <f>IF(B13="","",IFERROR(INDEX(Listas!$B$2:$B$14,MATCH(B13,Listas!$A$2:$A$14,0)),"?"))</f>
        <v/>
      </c>
      <c r="D13" s="14" t="n"/>
      <c r="E13" s="14" t="n"/>
      <c r="F13" s="21">
        <f>IF(AND(D13="",E13=""),"",D13*60+E13)</f>
        <v/>
      </c>
      <c r="G13" s="14" t="n"/>
      <c r="H13" s="14" t="n"/>
      <c r="I13" s="14" t="n"/>
      <c r="J13" s="14" t="n"/>
      <c r="K13" s="14" t="n"/>
      <c r="L13" s="14" t="n"/>
      <c r="M13" s="14" t="n"/>
      <c r="N13" s="14" t="n"/>
      <c r="O13" s="22" t="n"/>
    </row>
    <row r="14">
      <c r="A14" s="20" t="inlineStr">
        <is>
          <t>F1</t>
        </is>
      </c>
      <c r="B14" s="14" t="n">
        <v>10</v>
      </c>
      <c r="C14" s="21">
        <f>IF(B14="","",IFERROR(INDEX(Listas!$B$2:$B$14,MATCH(B14,Listas!$A$2:$A$14,0)),"?"))</f>
        <v/>
      </c>
      <c r="D14" s="14" t="n"/>
      <c r="E14" s="14" t="n"/>
      <c r="F14" s="21">
        <f>IF(AND(D14="",E14=""),"",D14*60+E14)</f>
        <v/>
      </c>
      <c r="G14" s="14" t="n"/>
      <c r="H14" s="14" t="n"/>
      <c r="I14" s="14" t="n"/>
      <c r="J14" s="14" t="n"/>
      <c r="K14" s="14" t="n"/>
      <c r="L14" s="14" t="n"/>
      <c r="M14" s="14" t="n"/>
      <c r="N14" s="14" t="n"/>
      <c r="O14" s="22" t="n"/>
    </row>
    <row r="15">
      <c r="A15" s="20" t="inlineStr">
        <is>
          <t>F1</t>
        </is>
      </c>
      <c r="B15" s="14" t="n">
        <v>11</v>
      </c>
      <c r="C15" s="21">
        <f>IF(B15="","",IFERROR(INDEX(Listas!$B$2:$B$14,MATCH(B15,Listas!$A$2:$A$14,0)),"?"))</f>
        <v/>
      </c>
      <c r="D15" s="14" t="n"/>
      <c r="E15" s="14" t="n"/>
      <c r="F15" s="21">
        <f>IF(AND(D15="",E15=""),"",D15*60+E15)</f>
        <v/>
      </c>
      <c r="G15" s="14" t="n"/>
      <c r="H15" s="14" t="n"/>
      <c r="I15" s="14" t="n"/>
      <c r="J15" s="14" t="n"/>
      <c r="K15" s="14" t="n"/>
      <c r="L15" s="14" t="n"/>
      <c r="M15" s="14" t="n"/>
      <c r="N15" s="14" t="n"/>
      <c r="O15" s="22" t="n"/>
    </row>
    <row r="16">
      <c r="A16" s="20" t="inlineStr">
        <is>
          <t>F1</t>
        </is>
      </c>
      <c r="B16" s="14" t="n">
        <v>12</v>
      </c>
      <c r="C16" s="21">
        <f>IF(B16="","",IFERROR(INDEX(Listas!$B$2:$B$14,MATCH(B16,Listas!$A$2:$A$14,0)),"?"))</f>
        <v/>
      </c>
      <c r="D16" s="14" t="n"/>
      <c r="E16" s="14" t="n"/>
      <c r="F16" s="21">
        <f>IF(AND(D16="",E16=""),"",D16*60+E16)</f>
        <v/>
      </c>
      <c r="G16" s="14" t="n"/>
      <c r="H16" s="14" t="n"/>
      <c r="I16" s="14" t="n"/>
      <c r="J16" s="14" t="n"/>
      <c r="K16" s="14" t="n"/>
      <c r="L16" s="14" t="n"/>
      <c r="M16" s="14" t="n"/>
      <c r="N16" s="14" t="n"/>
      <c r="O16" s="22" t="n"/>
    </row>
    <row r="17">
      <c r="A17" s="23" t="inlineStr">
        <is>
          <t>F1</t>
        </is>
      </c>
      <c r="B17" s="24" t="n">
        <v>13</v>
      </c>
      <c r="C17" s="25">
        <f>IF(B17="","",IFERROR(INDEX(Listas!$B$2:$B$14,MATCH(B17,Listas!$A$2:$A$14,0)),"?"))</f>
        <v/>
      </c>
      <c r="D17" s="24" t="n"/>
      <c r="E17" s="24" t="n"/>
      <c r="F17" s="25">
        <f>IF(AND(D17="",E17=""),"",D17*60+E17)</f>
        <v/>
      </c>
      <c r="G17" s="24" t="n"/>
      <c r="H17" s="24" t="n"/>
      <c r="I17" s="24" t="n"/>
      <c r="J17" s="24" t="n"/>
      <c r="K17" s="24" t="n"/>
      <c r="L17" s="24" t="n"/>
      <c r="M17" s="24" t="n"/>
      <c r="N17" s="24" t="n"/>
      <c r="O17" s="26" t="n"/>
    </row>
    <row r="18">
      <c r="A18" s="16" t="inlineStr">
        <is>
          <t>F2</t>
        </is>
      </c>
      <c r="B18" s="17" t="n">
        <v>1</v>
      </c>
      <c r="C18" s="18">
        <f>IF(B18="","",IFERROR(INDEX(Listas!$B$2:$B$14,MATCH(B18,Listas!$A$2:$A$14,0)),"?"))</f>
        <v/>
      </c>
      <c r="D18" s="17" t="n"/>
      <c r="E18" s="17" t="n"/>
      <c r="F18" s="18">
        <f>IF(AND(D18="",E18=""),"",D18*60+E18)</f>
        <v/>
      </c>
      <c r="G18" s="17" t="n"/>
      <c r="H18" s="17" t="n"/>
      <c r="I18" s="17" t="n"/>
      <c r="J18" s="17" t="n"/>
      <c r="K18" s="17" t="n"/>
      <c r="L18" s="17" t="n"/>
      <c r="M18" s="17" t="n"/>
      <c r="N18" s="17" t="n"/>
      <c r="O18" s="19" t="n"/>
    </row>
    <row r="19">
      <c r="A19" s="20" t="inlineStr">
        <is>
          <t>F2</t>
        </is>
      </c>
      <c r="B19" s="14" t="n">
        <v>2</v>
      </c>
      <c r="C19" s="21">
        <f>IF(B19="","",IFERROR(INDEX(Listas!$B$2:$B$14,MATCH(B19,Listas!$A$2:$A$14,0)),"?"))</f>
        <v/>
      </c>
      <c r="D19" s="14" t="n"/>
      <c r="E19" s="14" t="n"/>
      <c r="F19" s="21">
        <f>IF(AND(D19="",E19=""),"",D19*60+E19)</f>
        <v/>
      </c>
      <c r="G19" s="14" t="n"/>
      <c r="H19" s="14" t="n"/>
      <c r="I19" s="14" t="n"/>
      <c r="J19" s="14" t="n"/>
      <c r="K19" s="14" t="n"/>
      <c r="L19" s="14" t="n"/>
      <c r="M19" s="14" t="n"/>
      <c r="N19" s="14" t="n"/>
      <c r="O19" s="22" t="n"/>
    </row>
    <row r="20">
      <c r="A20" s="20" t="inlineStr">
        <is>
          <t>F2</t>
        </is>
      </c>
      <c r="B20" s="14" t="n">
        <v>3</v>
      </c>
      <c r="C20" s="21">
        <f>IF(B20="","",IFERROR(INDEX(Listas!$B$2:$B$14,MATCH(B20,Listas!$A$2:$A$14,0)),"?"))</f>
        <v/>
      </c>
      <c r="D20" s="14" t="n"/>
      <c r="E20" s="14" t="n"/>
      <c r="F20" s="21">
        <f>IF(AND(D20="",E20=""),"",D20*60+E20)</f>
        <v/>
      </c>
      <c r="G20" s="14" t="n"/>
      <c r="H20" s="14" t="n"/>
      <c r="I20" s="14" t="n"/>
      <c r="J20" s="14" t="n"/>
      <c r="K20" s="14" t="n"/>
      <c r="L20" s="14" t="n"/>
      <c r="M20" s="14" t="n"/>
      <c r="N20" s="14" t="n"/>
      <c r="O20" s="22" t="n"/>
    </row>
    <row r="21">
      <c r="A21" s="20" t="inlineStr">
        <is>
          <t>F2</t>
        </is>
      </c>
      <c r="B21" s="14" t="n">
        <v>4</v>
      </c>
      <c r="C21" s="21">
        <f>IF(B21="","",IFERROR(INDEX(Listas!$B$2:$B$14,MATCH(B21,Listas!$A$2:$A$14,0)),"?"))</f>
        <v/>
      </c>
      <c r="D21" s="14" t="n"/>
      <c r="E21" s="14" t="n"/>
      <c r="F21" s="21">
        <f>IF(AND(D21="",E21=""),"",D21*60+E21)</f>
        <v/>
      </c>
      <c r="G21" s="14" t="n"/>
      <c r="H21" s="14" t="n"/>
      <c r="I21" s="14" t="n"/>
      <c r="J21" s="14" t="n"/>
      <c r="K21" s="14" t="n"/>
      <c r="L21" s="14" t="n"/>
      <c r="M21" s="14" t="n"/>
      <c r="N21" s="14" t="n"/>
      <c r="O21" s="22" t="n"/>
    </row>
    <row r="22">
      <c r="A22" s="20" t="inlineStr">
        <is>
          <t>F2</t>
        </is>
      </c>
      <c r="B22" s="14" t="n">
        <v>5</v>
      </c>
      <c r="C22" s="21">
        <f>IF(B22="","",IFERROR(INDEX(Listas!$B$2:$B$14,MATCH(B22,Listas!$A$2:$A$14,0)),"?"))</f>
        <v/>
      </c>
      <c r="D22" s="14" t="n"/>
      <c r="E22" s="14" t="n"/>
      <c r="F22" s="21">
        <f>IF(AND(D22="",E22=""),"",D22*60+E22)</f>
        <v/>
      </c>
      <c r="G22" s="14" t="n"/>
      <c r="H22" s="14" t="n"/>
      <c r="I22" s="14" t="n"/>
      <c r="J22" s="14" t="n"/>
      <c r="K22" s="14" t="n"/>
      <c r="L22" s="14" t="n"/>
      <c r="M22" s="14" t="n"/>
      <c r="N22" s="14" t="n"/>
      <c r="O22" s="22" t="n"/>
    </row>
    <row r="23">
      <c r="A23" s="20" t="inlineStr">
        <is>
          <t>F2</t>
        </is>
      </c>
      <c r="B23" s="14" t="n">
        <v>6</v>
      </c>
      <c r="C23" s="21">
        <f>IF(B23="","",IFERROR(INDEX(Listas!$B$2:$B$14,MATCH(B23,Listas!$A$2:$A$14,0)),"?"))</f>
        <v/>
      </c>
      <c r="D23" s="14" t="n"/>
      <c r="E23" s="14" t="n"/>
      <c r="F23" s="21">
        <f>IF(AND(D23="",E23=""),"",D23*60+E23)</f>
        <v/>
      </c>
      <c r="G23" s="14" t="n"/>
      <c r="H23" s="14" t="n"/>
      <c r="I23" s="14" t="n"/>
      <c r="J23" s="14" t="n"/>
      <c r="K23" s="14" t="n"/>
      <c r="L23" s="14" t="n"/>
      <c r="M23" s="14" t="n"/>
      <c r="N23" s="14" t="n"/>
      <c r="O23" s="22" t="n"/>
    </row>
    <row r="24">
      <c r="A24" s="20" t="inlineStr">
        <is>
          <t>F2</t>
        </is>
      </c>
      <c r="B24" s="14" t="n">
        <v>7</v>
      </c>
      <c r="C24" s="21">
        <f>IF(B24="","",IFERROR(INDEX(Listas!$B$2:$B$14,MATCH(B24,Listas!$A$2:$A$14,0)),"?"))</f>
        <v/>
      </c>
      <c r="D24" s="14" t="n"/>
      <c r="E24" s="14" t="n"/>
      <c r="F24" s="21">
        <f>IF(AND(D24="",E24=""),"",D24*60+E24)</f>
        <v/>
      </c>
      <c r="G24" s="14" t="n"/>
      <c r="H24" s="14" t="n"/>
      <c r="I24" s="14" t="n"/>
      <c r="J24" s="14" t="n"/>
      <c r="K24" s="14" t="n"/>
      <c r="L24" s="14" t="n"/>
      <c r="M24" s="14" t="n"/>
      <c r="N24" s="14" t="n"/>
      <c r="O24" s="22" t="n"/>
    </row>
    <row r="25">
      <c r="A25" s="20" t="inlineStr">
        <is>
          <t>F2</t>
        </is>
      </c>
      <c r="B25" s="14" t="n">
        <v>8</v>
      </c>
      <c r="C25" s="21">
        <f>IF(B25="","",IFERROR(INDEX(Listas!$B$2:$B$14,MATCH(B25,Listas!$A$2:$A$14,0)),"?"))</f>
        <v/>
      </c>
      <c r="D25" s="14" t="n"/>
      <c r="E25" s="14" t="n"/>
      <c r="F25" s="21">
        <f>IF(AND(D25="",E25=""),"",D25*60+E25)</f>
        <v/>
      </c>
      <c r="G25" s="14" t="n"/>
      <c r="H25" s="14" t="n"/>
      <c r="I25" s="14" t="n"/>
      <c r="J25" s="14" t="n"/>
      <c r="K25" s="14" t="n"/>
      <c r="L25" s="14" t="n"/>
      <c r="M25" s="14" t="n"/>
      <c r="N25" s="14" t="n"/>
      <c r="O25" s="22" t="n"/>
    </row>
    <row r="26">
      <c r="A26" s="20" t="inlineStr">
        <is>
          <t>F2</t>
        </is>
      </c>
      <c r="B26" s="14" t="n">
        <v>9</v>
      </c>
      <c r="C26" s="21">
        <f>IF(B26="","",IFERROR(INDEX(Listas!$B$2:$B$14,MATCH(B26,Listas!$A$2:$A$14,0)),"?"))</f>
        <v/>
      </c>
      <c r="D26" s="14" t="n"/>
      <c r="E26" s="14" t="n"/>
      <c r="F26" s="21">
        <f>IF(AND(D26="",E26=""),"",D26*60+E26)</f>
        <v/>
      </c>
      <c r="G26" s="14" t="n"/>
      <c r="H26" s="14" t="n"/>
      <c r="I26" s="14" t="n"/>
      <c r="J26" s="14" t="n"/>
      <c r="K26" s="14" t="n"/>
      <c r="L26" s="14" t="n"/>
      <c r="M26" s="14" t="n"/>
      <c r="N26" s="14" t="n"/>
      <c r="O26" s="22" t="n"/>
    </row>
    <row r="27">
      <c r="A27" s="20" t="inlineStr">
        <is>
          <t>F2</t>
        </is>
      </c>
      <c r="B27" s="14" t="n">
        <v>10</v>
      </c>
      <c r="C27" s="21">
        <f>IF(B27="","",IFERROR(INDEX(Listas!$B$2:$B$14,MATCH(B27,Listas!$A$2:$A$14,0)),"?"))</f>
        <v/>
      </c>
      <c r="D27" s="14" t="n"/>
      <c r="E27" s="14" t="n"/>
      <c r="F27" s="21">
        <f>IF(AND(D27="",E27=""),"",D27*60+E27)</f>
        <v/>
      </c>
      <c r="G27" s="14" t="n"/>
      <c r="H27" s="14" t="n"/>
      <c r="I27" s="14" t="n"/>
      <c r="J27" s="14" t="n"/>
      <c r="K27" s="14" t="n"/>
      <c r="L27" s="14" t="n"/>
      <c r="M27" s="14" t="n"/>
      <c r="N27" s="14" t="n"/>
      <c r="O27" s="22" t="n"/>
    </row>
    <row r="28">
      <c r="A28" s="20" t="inlineStr">
        <is>
          <t>F2</t>
        </is>
      </c>
      <c r="B28" s="14" t="n">
        <v>11</v>
      </c>
      <c r="C28" s="21">
        <f>IF(B28="","",IFERROR(INDEX(Listas!$B$2:$B$14,MATCH(B28,Listas!$A$2:$A$14,0)),"?"))</f>
        <v/>
      </c>
      <c r="D28" s="14" t="n"/>
      <c r="E28" s="14" t="n"/>
      <c r="F28" s="21">
        <f>IF(AND(D28="",E28=""),"",D28*60+E28)</f>
        <v/>
      </c>
      <c r="G28" s="14" t="n"/>
      <c r="H28" s="14" t="n"/>
      <c r="I28" s="14" t="n"/>
      <c r="J28" s="14" t="n"/>
      <c r="K28" s="14" t="n"/>
      <c r="L28" s="14" t="n"/>
      <c r="M28" s="14" t="n"/>
      <c r="N28" s="14" t="n"/>
      <c r="O28" s="22" t="n"/>
    </row>
    <row r="29">
      <c r="A29" s="20" t="inlineStr">
        <is>
          <t>F2</t>
        </is>
      </c>
      <c r="B29" s="14" t="n">
        <v>12</v>
      </c>
      <c r="C29" s="21">
        <f>IF(B29="","",IFERROR(INDEX(Listas!$B$2:$B$14,MATCH(B29,Listas!$A$2:$A$14,0)),"?"))</f>
        <v/>
      </c>
      <c r="D29" s="14" t="n"/>
      <c r="E29" s="14" t="n"/>
      <c r="F29" s="21">
        <f>IF(AND(D29="",E29=""),"",D29*60+E29)</f>
        <v/>
      </c>
      <c r="G29" s="14" t="n"/>
      <c r="H29" s="14" t="n"/>
      <c r="I29" s="14" t="n"/>
      <c r="J29" s="14" t="n"/>
      <c r="K29" s="14" t="n"/>
      <c r="L29" s="14" t="n"/>
      <c r="M29" s="14" t="n"/>
      <c r="N29" s="14" t="n"/>
      <c r="O29" s="22" t="n"/>
    </row>
    <row r="30">
      <c r="A30" s="23" t="inlineStr">
        <is>
          <t>F2</t>
        </is>
      </c>
      <c r="B30" s="24" t="n">
        <v>13</v>
      </c>
      <c r="C30" s="25">
        <f>IF(B30="","",IFERROR(INDEX(Listas!$B$2:$B$14,MATCH(B30,Listas!$A$2:$A$14,0)),"?"))</f>
        <v/>
      </c>
      <c r="D30" s="24" t="n"/>
      <c r="E30" s="24" t="n"/>
      <c r="F30" s="25">
        <f>IF(AND(D30="",E30=""),"",D30*60+E30)</f>
        <v/>
      </c>
      <c r="G30" s="24" t="n"/>
      <c r="H30" s="24" t="n"/>
      <c r="I30" s="24" t="n"/>
      <c r="J30" s="24" t="n"/>
      <c r="K30" s="24" t="n"/>
      <c r="L30" s="24" t="n"/>
      <c r="M30" s="24" t="n"/>
      <c r="N30" s="24" t="n"/>
      <c r="O30" s="26" t="n"/>
    </row>
    <row r="31">
      <c r="A31" s="16" t="inlineStr">
        <is>
          <t>F3</t>
        </is>
      </c>
      <c r="B31" s="17" t="n">
        <v>1</v>
      </c>
      <c r="C31" s="18">
        <f>IF(B31="","",IFERROR(INDEX(Listas!$B$2:$B$14,MATCH(B31,Listas!$A$2:$A$14,0)),"?"))</f>
        <v/>
      </c>
      <c r="D31" s="17" t="n"/>
      <c r="E31" s="17" t="n"/>
      <c r="F31" s="18">
        <f>IF(AND(D31="",E31=""),"",D31*60+E31)</f>
        <v/>
      </c>
      <c r="G31" s="17" t="n"/>
      <c r="H31" s="17" t="n"/>
      <c r="I31" s="17" t="n"/>
      <c r="J31" s="17" t="n"/>
      <c r="K31" s="17" t="n"/>
      <c r="L31" s="17" t="n"/>
      <c r="M31" s="17" t="n"/>
      <c r="N31" s="17" t="n"/>
      <c r="O31" s="19" t="n"/>
    </row>
    <row r="32">
      <c r="A32" s="20" t="inlineStr">
        <is>
          <t>F3</t>
        </is>
      </c>
      <c r="B32" s="14" t="n">
        <v>2</v>
      </c>
      <c r="C32" s="21">
        <f>IF(B32="","",IFERROR(INDEX(Listas!$B$2:$B$14,MATCH(B32,Listas!$A$2:$A$14,0)),"?"))</f>
        <v/>
      </c>
      <c r="D32" s="14" t="n"/>
      <c r="E32" s="14" t="n"/>
      <c r="F32" s="21">
        <f>IF(AND(D32="",E32=""),"",D32*60+E32)</f>
        <v/>
      </c>
      <c r="G32" s="14" t="n"/>
      <c r="H32" s="14" t="n"/>
      <c r="I32" s="14" t="n"/>
      <c r="J32" s="14" t="n"/>
      <c r="K32" s="14" t="n"/>
      <c r="L32" s="14" t="n"/>
      <c r="M32" s="14" t="n"/>
      <c r="N32" s="14" t="n"/>
      <c r="O32" s="22" t="n"/>
    </row>
    <row r="33">
      <c r="A33" s="20" t="inlineStr">
        <is>
          <t>F3</t>
        </is>
      </c>
      <c r="B33" s="14" t="n">
        <v>3</v>
      </c>
      <c r="C33" s="21">
        <f>IF(B33="","",IFERROR(INDEX(Listas!$B$2:$B$14,MATCH(B33,Listas!$A$2:$A$14,0)),"?"))</f>
        <v/>
      </c>
      <c r="D33" s="14" t="n"/>
      <c r="E33" s="14" t="n"/>
      <c r="F33" s="21">
        <f>IF(AND(D33="",E33=""),"",D33*60+E33)</f>
        <v/>
      </c>
      <c r="G33" s="14" t="n"/>
      <c r="H33" s="14" t="n"/>
      <c r="I33" s="14" t="n"/>
      <c r="J33" s="14" t="n"/>
      <c r="K33" s="14" t="n"/>
      <c r="L33" s="14" t="n"/>
      <c r="M33" s="14" t="n"/>
      <c r="N33" s="14" t="n"/>
      <c r="O33" s="22" t="n"/>
    </row>
    <row r="34">
      <c r="A34" s="20" t="inlineStr">
        <is>
          <t>F3</t>
        </is>
      </c>
      <c r="B34" s="14" t="n">
        <v>4</v>
      </c>
      <c r="C34" s="21">
        <f>IF(B34="","",IFERROR(INDEX(Listas!$B$2:$B$14,MATCH(B34,Listas!$A$2:$A$14,0)),"?"))</f>
        <v/>
      </c>
      <c r="D34" s="14" t="n"/>
      <c r="E34" s="14" t="n"/>
      <c r="F34" s="21">
        <f>IF(AND(D34="",E34=""),"",D34*60+E34)</f>
        <v/>
      </c>
      <c r="G34" s="14" t="n"/>
      <c r="H34" s="14" t="n"/>
      <c r="I34" s="14" t="n"/>
      <c r="J34" s="14" t="n"/>
      <c r="K34" s="14" t="n"/>
      <c r="L34" s="14" t="n"/>
      <c r="M34" s="14" t="n"/>
      <c r="N34" s="14" t="n"/>
      <c r="O34" s="22" t="n"/>
    </row>
    <row r="35">
      <c r="A35" s="20" t="inlineStr">
        <is>
          <t>F3</t>
        </is>
      </c>
      <c r="B35" s="14" t="n">
        <v>5</v>
      </c>
      <c r="C35" s="21">
        <f>IF(B35="","",IFERROR(INDEX(Listas!$B$2:$B$14,MATCH(B35,Listas!$A$2:$A$14,0)),"?"))</f>
        <v/>
      </c>
      <c r="D35" s="14" t="n"/>
      <c r="E35" s="14" t="n"/>
      <c r="F35" s="21">
        <f>IF(AND(D35="",E35=""),"",D35*60+E35)</f>
        <v/>
      </c>
      <c r="G35" s="14" t="n"/>
      <c r="H35" s="14" t="n"/>
      <c r="I35" s="14" t="n"/>
      <c r="J35" s="14" t="n"/>
      <c r="K35" s="14" t="n"/>
      <c r="L35" s="14" t="n"/>
      <c r="M35" s="14" t="n"/>
      <c r="N35" s="14" t="n"/>
      <c r="O35" s="22" t="n"/>
    </row>
    <row r="36">
      <c r="A36" s="20" t="inlineStr">
        <is>
          <t>F3</t>
        </is>
      </c>
      <c r="B36" s="14" t="n">
        <v>6</v>
      </c>
      <c r="C36" s="21">
        <f>IF(B36="","",IFERROR(INDEX(Listas!$B$2:$B$14,MATCH(B36,Listas!$A$2:$A$14,0)),"?"))</f>
        <v/>
      </c>
      <c r="D36" s="14" t="n"/>
      <c r="E36" s="14" t="n"/>
      <c r="F36" s="21">
        <f>IF(AND(D36="",E36=""),"",D36*60+E36)</f>
        <v/>
      </c>
      <c r="G36" s="14" t="n"/>
      <c r="H36" s="14" t="n"/>
      <c r="I36" s="14" t="n"/>
      <c r="J36" s="14" t="n"/>
      <c r="K36" s="14" t="n"/>
      <c r="L36" s="14" t="n"/>
      <c r="M36" s="14" t="n"/>
      <c r="N36" s="14" t="n"/>
      <c r="O36" s="22" t="n"/>
    </row>
    <row r="37">
      <c r="A37" s="20" t="inlineStr">
        <is>
          <t>F3</t>
        </is>
      </c>
      <c r="B37" s="14" t="n">
        <v>7</v>
      </c>
      <c r="C37" s="21">
        <f>IF(B37="","",IFERROR(INDEX(Listas!$B$2:$B$14,MATCH(B37,Listas!$A$2:$A$14,0)),"?"))</f>
        <v/>
      </c>
      <c r="D37" s="14" t="n"/>
      <c r="E37" s="14" t="n"/>
      <c r="F37" s="21">
        <f>IF(AND(D37="",E37=""),"",D37*60+E37)</f>
        <v/>
      </c>
      <c r="G37" s="14" t="n"/>
      <c r="H37" s="14" t="n"/>
      <c r="I37" s="14" t="n"/>
      <c r="J37" s="14" t="n"/>
      <c r="K37" s="14" t="n"/>
      <c r="L37" s="14" t="n"/>
      <c r="M37" s="14" t="n"/>
      <c r="N37" s="14" t="n"/>
      <c r="O37" s="22" t="n"/>
    </row>
    <row r="38">
      <c r="A38" s="20" t="inlineStr">
        <is>
          <t>F3</t>
        </is>
      </c>
      <c r="B38" s="14" t="n">
        <v>8</v>
      </c>
      <c r="C38" s="21">
        <f>IF(B38="","",IFERROR(INDEX(Listas!$B$2:$B$14,MATCH(B38,Listas!$A$2:$A$14,0)),"?"))</f>
        <v/>
      </c>
      <c r="D38" s="14" t="n"/>
      <c r="E38" s="14" t="n"/>
      <c r="F38" s="21">
        <f>IF(AND(D38="",E38=""),"",D38*60+E38)</f>
        <v/>
      </c>
      <c r="G38" s="14" t="n"/>
      <c r="H38" s="14" t="n"/>
      <c r="I38" s="14" t="n"/>
      <c r="J38" s="14" t="n"/>
      <c r="K38" s="14" t="n"/>
      <c r="L38" s="14" t="n"/>
      <c r="M38" s="14" t="n"/>
      <c r="N38" s="14" t="n"/>
      <c r="O38" s="22" t="n"/>
    </row>
    <row r="39">
      <c r="A39" s="20" t="inlineStr">
        <is>
          <t>F3</t>
        </is>
      </c>
      <c r="B39" s="14" t="n">
        <v>9</v>
      </c>
      <c r="C39" s="21">
        <f>IF(B39="","",IFERROR(INDEX(Listas!$B$2:$B$14,MATCH(B39,Listas!$A$2:$A$14,0)),"?"))</f>
        <v/>
      </c>
      <c r="D39" s="14" t="n"/>
      <c r="E39" s="14" t="n"/>
      <c r="F39" s="21">
        <f>IF(AND(D39="",E39=""),"",D39*60+E39)</f>
        <v/>
      </c>
      <c r="G39" s="14" t="n"/>
      <c r="H39" s="14" t="n"/>
      <c r="I39" s="14" t="n"/>
      <c r="J39" s="14" t="n"/>
      <c r="K39" s="14" t="n"/>
      <c r="L39" s="14" t="n"/>
      <c r="M39" s="14" t="n"/>
      <c r="N39" s="14" t="n"/>
      <c r="O39" s="22" t="n"/>
    </row>
    <row r="40">
      <c r="A40" s="20" t="inlineStr">
        <is>
          <t>F3</t>
        </is>
      </c>
      <c r="B40" s="14" t="n">
        <v>10</v>
      </c>
      <c r="C40" s="21">
        <f>IF(B40="","",IFERROR(INDEX(Listas!$B$2:$B$14,MATCH(B40,Listas!$A$2:$A$14,0)),"?"))</f>
        <v/>
      </c>
      <c r="D40" s="14" t="n"/>
      <c r="E40" s="14" t="n"/>
      <c r="F40" s="21">
        <f>IF(AND(D40="",E40=""),"",D40*60+E40)</f>
        <v/>
      </c>
      <c r="G40" s="14" t="n"/>
      <c r="H40" s="14" t="n"/>
      <c r="I40" s="14" t="n"/>
      <c r="J40" s="14" t="n"/>
      <c r="K40" s="14" t="n"/>
      <c r="L40" s="14" t="n"/>
      <c r="M40" s="14" t="n"/>
      <c r="N40" s="14" t="n"/>
      <c r="O40" s="22" t="n"/>
    </row>
    <row r="41">
      <c r="A41" s="20" t="inlineStr">
        <is>
          <t>F3</t>
        </is>
      </c>
      <c r="B41" s="14" t="n">
        <v>11</v>
      </c>
      <c r="C41" s="21">
        <f>IF(B41="","",IFERROR(INDEX(Listas!$B$2:$B$14,MATCH(B41,Listas!$A$2:$A$14,0)),"?"))</f>
        <v/>
      </c>
      <c r="D41" s="14" t="n"/>
      <c r="E41" s="14" t="n"/>
      <c r="F41" s="21">
        <f>IF(AND(D41="",E41=""),"",D41*60+E41)</f>
        <v/>
      </c>
      <c r="G41" s="14" t="n"/>
      <c r="H41" s="14" t="n"/>
      <c r="I41" s="14" t="n"/>
      <c r="J41" s="14" t="n"/>
      <c r="K41" s="14" t="n"/>
      <c r="L41" s="14" t="n"/>
      <c r="M41" s="14" t="n"/>
      <c r="N41" s="14" t="n"/>
      <c r="O41" s="22" t="n"/>
    </row>
    <row r="42">
      <c r="A42" s="20" t="inlineStr">
        <is>
          <t>F3</t>
        </is>
      </c>
      <c r="B42" s="14" t="n">
        <v>12</v>
      </c>
      <c r="C42" s="21">
        <f>IF(B42="","",IFERROR(INDEX(Listas!$B$2:$B$14,MATCH(B42,Listas!$A$2:$A$14,0)),"?"))</f>
        <v/>
      </c>
      <c r="D42" s="14" t="n"/>
      <c r="E42" s="14" t="n"/>
      <c r="F42" s="21">
        <f>IF(AND(D42="",E42=""),"",D42*60+E42)</f>
        <v/>
      </c>
      <c r="G42" s="14" t="n"/>
      <c r="H42" s="14" t="n"/>
      <c r="I42" s="14" t="n"/>
      <c r="J42" s="14" t="n"/>
      <c r="K42" s="14" t="n"/>
      <c r="L42" s="14" t="n"/>
      <c r="M42" s="14" t="n"/>
      <c r="N42" s="14" t="n"/>
      <c r="O42" s="22" t="n"/>
    </row>
    <row r="43">
      <c r="A43" s="23" t="inlineStr">
        <is>
          <t>F3</t>
        </is>
      </c>
      <c r="B43" s="24" t="n">
        <v>13</v>
      </c>
      <c r="C43" s="25">
        <f>IF(B43="","",IFERROR(INDEX(Listas!$B$2:$B$14,MATCH(B43,Listas!$A$2:$A$14,0)),"?"))</f>
        <v/>
      </c>
      <c r="D43" s="24" t="n"/>
      <c r="E43" s="24" t="n"/>
      <c r="F43" s="25">
        <f>IF(AND(D43="",E43=""),"",D43*60+E43)</f>
        <v/>
      </c>
      <c r="G43" s="24" t="n"/>
      <c r="H43" s="24" t="n"/>
      <c r="I43" s="24" t="n"/>
      <c r="J43" s="24" t="n"/>
      <c r="K43" s="24" t="n"/>
      <c r="L43" s="24" t="n"/>
      <c r="M43" s="24" t="n"/>
      <c r="N43" s="24" t="n"/>
      <c r="O43" s="26" t="n"/>
    </row>
    <row r="44">
      <c r="A44" s="16" t="inlineStr">
        <is>
          <t>F4</t>
        </is>
      </c>
      <c r="B44" s="17" t="n">
        <v>1</v>
      </c>
      <c r="C44" s="18">
        <f>IF(B44="","",IFERROR(INDEX(Listas!$B$2:$B$14,MATCH(B44,Listas!$A$2:$A$14,0)),"?"))</f>
        <v/>
      </c>
      <c r="D44" s="17" t="n"/>
      <c r="E44" s="17" t="n"/>
      <c r="F44" s="18">
        <f>IF(AND(D44="",E44=""),"",D44*60+E44)</f>
        <v/>
      </c>
      <c r="G44" s="17" t="n"/>
      <c r="H44" s="17" t="n"/>
      <c r="I44" s="17" t="n"/>
      <c r="J44" s="17" t="n"/>
      <c r="K44" s="17" t="n"/>
      <c r="L44" s="17" t="n"/>
      <c r="M44" s="17" t="n"/>
      <c r="N44" s="17" t="n"/>
      <c r="O44" s="19" t="n"/>
    </row>
    <row r="45">
      <c r="A45" s="20" t="inlineStr">
        <is>
          <t>F4</t>
        </is>
      </c>
      <c r="B45" s="14" t="n">
        <v>2</v>
      </c>
      <c r="C45" s="21">
        <f>IF(B45="","",IFERROR(INDEX(Listas!$B$2:$B$14,MATCH(B45,Listas!$A$2:$A$14,0)),"?"))</f>
        <v/>
      </c>
      <c r="D45" s="14" t="n"/>
      <c r="E45" s="14" t="n"/>
      <c r="F45" s="21">
        <f>IF(AND(D45="",E45=""),"",D45*60+E45)</f>
        <v/>
      </c>
      <c r="G45" s="14" t="n"/>
      <c r="H45" s="14" t="n"/>
      <c r="I45" s="14" t="n"/>
      <c r="J45" s="14" t="n"/>
      <c r="K45" s="14" t="n"/>
      <c r="L45" s="14" t="n"/>
      <c r="M45" s="14" t="n"/>
      <c r="N45" s="14" t="n"/>
      <c r="O45" s="22" t="n"/>
    </row>
    <row r="46">
      <c r="A46" s="20" t="inlineStr">
        <is>
          <t>F4</t>
        </is>
      </c>
      <c r="B46" s="14" t="n">
        <v>3</v>
      </c>
      <c r="C46" s="21">
        <f>IF(B46="","",IFERROR(INDEX(Listas!$B$2:$B$14,MATCH(B46,Listas!$A$2:$A$14,0)),"?"))</f>
        <v/>
      </c>
      <c r="D46" s="14" t="n"/>
      <c r="E46" s="14" t="n"/>
      <c r="F46" s="21">
        <f>IF(AND(D46="",E46=""),"",D46*60+E46)</f>
        <v/>
      </c>
      <c r="G46" s="14" t="n"/>
      <c r="H46" s="14" t="n"/>
      <c r="I46" s="14" t="n"/>
      <c r="J46" s="14" t="n"/>
      <c r="K46" s="14" t="n"/>
      <c r="L46" s="14" t="n"/>
      <c r="M46" s="14" t="n"/>
      <c r="N46" s="14" t="n"/>
      <c r="O46" s="22" t="n"/>
    </row>
    <row r="47">
      <c r="A47" s="20" t="inlineStr">
        <is>
          <t>F4</t>
        </is>
      </c>
      <c r="B47" s="14" t="n">
        <v>4</v>
      </c>
      <c r="C47" s="21">
        <f>IF(B47="","",IFERROR(INDEX(Listas!$B$2:$B$14,MATCH(B47,Listas!$A$2:$A$14,0)),"?"))</f>
        <v/>
      </c>
      <c r="D47" s="14" t="n"/>
      <c r="E47" s="14" t="n"/>
      <c r="F47" s="21">
        <f>IF(AND(D47="",E47=""),"",D47*60+E47)</f>
        <v/>
      </c>
      <c r="G47" s="14" t="n"/>
      <c r="H47" s="14" t="n"/>
      <c r="I47" s="14" t="n"/>
      <c r="J47" s="14" t="n"/>
      <c r="K47" s="14" t="n"/>
      <c r="L47" s="14" t="n"/>
      <c r="M47" s="14" t="n"/>
      <c r="N47" s="14" t="n"/>
      <c r="O47" s="22" t="n"/>
    </row>
    <row r="48">
      <c r="A48" s="20" t="inlineStr">
        <is>
          <t>F4</t>
        </is>
      </c>
      <c r="B48" s="14" t="n">
        <v>5</v>
      </c>
      <c r="C48" s="21">
        <f>IF(B48="","",IFERROR(INDEX(Listas!$B$2:$B$14,MATCH(B48,Listas!$A$2:$A$14,0)),"?"))</f>
        <v/>
      </c>
      <c r="D48" s="14" t="n"/>
      <c r="E48" s="14" t="n"/>
      <c r="F48" s="21">
        <f>IF(AND(D48="",E48=""),"",D48*60+E48)</f>
        <v/>
      </c>
      <c r="G48" s="14" t="n"/>
      <c r="H48" s="14" t="n"/>
      <c r="I48" s="14" t="n"/>
      <c r="J48" s="14" t="n"/>
      <c r="K48" s="14" t="n"/>
      <c r="L48" s="14" t="n"/>
      <c r="M48" s="14" t="n"/>
      <c r="N48" s="14" t="n"/>
      <c r="O48" s="22" t="n"/>
    </row>
    <row r="49">
      <c r="A49" s="20" t="inlineStr">
        <is>
          <t>F4</t>
        </is>
      </c>
      <c r="B49" s="14" t="n">
        <v>6</v>
      </c>
      <c r="C49" s="21">
        <f>IF(B49="","",IFERROR(INDEX(Listas!$B$2:$B$14,MATCH(B49,Listas!$A$2:$A$14,0)),"?"))</f>
        <v/>
      </c>
      <c r="D49" s="14" t="n"/>
      <c r="E49" s="14" t="n"/>
      <c r="F49" s="21">
        <f>IF(AND(D49="",E49=""),"",D49*60+E49)</f>
        <v/>
      </c>
      <c r="G49" s="14" t="n"/>
      <c r="H49" s="14" t="n"/>
      <c r="I49" s="14" t="n"/>
      <c r="J49" s="14" t="n"/>
      <c r="K49" s="14" t="n"/>
      <c r="L49" s="14" t="n"/>
      <c r="M49" s="14" t="n"/>
      <c r="N49" s="14" t="n"/>
      <c r="O49" s="22" t="n"/>
    </row>
    <row r="50">
      <c r="A50" s="20" t="inlineStr">
        <is>
          <t>F4</t>
        </is>
      </c>
      <c r="B50" s="14" t="n">
        <v>7</v>
      </c>
      <c r="C50" s="21">
        <f>IF(B50="","",IFERROR(INDEX(Listas!$B$2:$B$14,MATCH(B50,Listas!$A$2:$A$14,0)),"?"))</f>
        <v/>
      </c>
      <c r="D50" s="14" t="n"/>
      <c r="E50" s="14" t="n"/>
      <c r="F50" s="21">
        <f>IF(AND(D50="",E50=""),"",D50*60+E50)</f>
        <v/>
      </c>
      <c r="G50" s="14" t="n"/>
      <c r="H50" s="14" t="n"/>
      <c r="I50" s="14" t="n"/>
      <c r="J50" s="14" t="n"/>
      <c r="K50" s="14" t="n"/>
      <c r="L50" s="14" t="n"/>
      <c r="M50" s="14" t="n"/>
      <c r="N50" s="14" t="n"/>
      <c r="O50" s="22" t="n"/>
    </row>
    <row r="51">
      <c r="A51" s="20" t="inlineStr">
        <is>
          <t>F4</t>
        </is>
      </c>
      <c r="B51" s="14" t="n">
        <v>8</v>
      </c>
      <c r="C51" s="21">
        <f>IF(B51="","",IFERROR(INDEX(Listas!$B$2:$B$14,MATCH(B51,Listas!$A$2:$A$14,0)),"?"))</f>
        <v/>
      </c>
      <c r="D51" s="14" t="n"/>
      <c r="E51" s="14" t="n"/>
      <c r="F51" s="21">
        <f>IF(AND(D51="",E51=""),"",D51*60+E51)</f>
        <v/>
      </c>
      <c r="G51" s="14" t="n"/>
      <c r="H51" s="14" t="n"/>
      <c r="I51" s="14" t="n"/>
      <c r="J51" s="14" t="n"/>
      <c r="K51" s="14" t="n"/>
      <c r="L51" s="14" t="n"/>
      <c r="M51" s="14" t="n"/>
      <c r="N51" s="14" t="n"/>
      <c r="O51" s="22" t="n"/>
    </row>
    <row r="52">
      <c r="A52" s="20" t="inlineStr">
        <is>
          <t>F4</t>
        </is>
      </c>
      <c r="B52" s="14" t="n">
        <v>9</v>
      </c>
      <c r="C52" s="21">
        <f>IF(B52="","",IFERROR(INDEX(Listas!$B$2:$B$14,MATCH(B52,Listas!$A$2:$A$14,0)),"?"))</f>
        <v/>
      </c>
      <c r="D52" s="14" t="n"/>
      <c r="E52" s="14" t="n"/>
      <c r="F52" s="21">
        <f>IF(AND(D52="",E52=""),"",D52*60+E52)</f>
        <v/>
      </c>
      <c r="G52" s="14" t="n"/>
      <c r="H52" s="14" t="n"/>
      <c r="I52" s="14" t="n"/>
      <c r="J52" s="14" t="n"/>
      <c r="K52" s="14" t="n"/>
      <c r="L52" s="14" t="n"/>
      <c r="M52" s="14" t="n"/>
      <c r="N52" s="14" t="n"/>
      <c r="O52" s="22" t="n"/>
    </row>
    <row r="53">
      <c r="A53" s="20" t="inlineStr">
        <is>
          <t>F4</t>
        </is>
      </c>
      <c r="B53" s="14" t="n">
        <v>10</v>
      </c>
      <c r="C53" s="21">
        <f>IF(B53="","",IFERROR(INDEX(Listas!$B$2:$B$14,MATCH(B53,Listas!$A$2:$A$14,0)),"?"))</f>
        <v/>
      </c>
      <c r="D53" s="14" t="n"/>
      <c r="E53" s="14" t="n"/>
      <c r="F53" s="21">
        <f>IF(AND(D53="",E53=""),"",D53*60+E53)</f>
        <v/>
      </c>
      <c r="G53" s="14" t="n"/>
      <c r="H53" s="14" t="n"/>
      <c r="I53" s="14" t="n"/>
      <c r="J53" s="14" t="n"/>
      <c r="K53" s="14" t="n"/>
      <c r="L53" s="14" t="n"/>
      <c r="M53" s="14" t="n"/>
      <c r="N53" s="14" t="n"/>
      <c r="O53" s="22" t="n"/>
    </row>
    <row r="54">
      <c r="A54" s="20" t="inlineStr">
        <is>
          <t>F4</t>
        </is>
      </c>
      <c r="B54" s="14" t="n">
        <v>11</v>
      </c>
      <c r="C54" s="21">
        <f>IF(B54="","",IFERROR(INDEX(Listas!$B$2:$B$14,MATCH(B54,Listas!$A$2:$A$14,0)),"?"))</f>
        <v/>
      </c>
      <c r="D54" s="14" t="n"/>
      <c r="E54" s="14" t="n"/>
      <c r="F54" s="21">
        <f>IF(AND(D54="",E54=""),"",D54*60+E54)</f>
        <v/>
      </c>
      <c r="G54" s="14" t="n"/>
      <c r="H54" s="14" t="n"/>
      <c r="I54" s="14" t="n"/>
      <c r="J54" s="14" t="n"/>
      <c r="K54" s="14" t="n"/>
      <c r="L54" s="14" t="n"/>
      <c r="M54" s="14" t="n"/>
      <c r="N54" s="14" t="n"/>
      <c r="O54" s="22" t="n"/>
    </row>
    <row r="55">
      <c r="A55" s="20" t="inlineStr">
        <is>
          <t>F4</t>
        </is>
      </c>
      <c r="B55" s="14" t="n">
        <v>12</v>
      </c>
      <c r="C55" s="21">
        <f>IF(B55="","",IFERROR(INDEX(Listas!$B$2:$B$14,MATCH(B55,Listas!$A$2:$A$14,0)),"?"))</f>
        <v/>
      </c>
      <c r="D55" s="14" t="n"/>
      <c r="E55" s="14" t="n"/>
      <c r="F55" s="21">
        <f>IF(AND(D55="",E55=""),"",D55*60+E55)</f>
        <v/>
      </c>
      <c r="G55" s="14" t="n"/>
      <c r="H55" s="14" t="n"/>
      <c r="I55" s="14" t="n"/>
      <c r="J55" s="14" t="n"/>
      <c r="K55" s="14" t="n"/>
      <c r="L55" s="14" t="n"/>
      <c r="M55" s="14" t="n"/>
      <c r="N55" s="14" t="n"/>
      <c r="O55" s="22" t="n"/>
    </row>
    <row r="56">
      <c r="A56" s="23" t="inlineStr">
        <is>
          <t>F4</t>
        </is>
      </c>
      <c r="B56" s="24" t="n">
        <v>13</v>
      </c>
      <c r="C56" s="25">
        <f>IF(B56="","",IFERROR(INDEX(Listas!$B$2:$B$14,MATCH(B56,Listas!$A$2:$A$14,0)),"?"))</f>
        <v/>
      </c>
      <c r="D56" s="24" t="n"/>
      <c r="E56" s="24" t="n"/>
      <c r="F56" s="25">
        <f>IF(AND(D56="",E56=""),"",D56*60+E56)</f>
        <v/>
      </c>
      <c r="G56" s="24" t="n"/>
      <c r="H56" s="24" t="n"/>
      <c r="I56" s="24" t="n"/>
      <c r="J56" s="24" t="n"/>
      <c r="K56" s="24" t="n"/>
      <c r="L56" s="24" t="n"/>
      <c r="M56" s="24" t="n"/>
      <c r="N56" s="24" t="n"/>
      <c r="O56" s="26" t="n"/>
    </row>
    <row r="57">
      <c r="A57" s="14" t="n"/>
      <c r="B57" s="14" t="n"/>
      <c r="C57" s="21">
        <f>IF(B57="","",IFERROR(INDEX(Listas!$B$2:$B$14,MATCH(B57,Listas!$A$2:$A$14,0)),"?"))</f>
        <v/>
      </c>
      <c r="D57" s="14" t="n"/>
      <c r="E57" s="14" t="n"/>
      <c r="F57" s="21">
        <f>IF(AND(D57="",E57=""),"",D57*60+E57)</f>
        <v/>
      </c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</row>
    <row r="58">
      <c r="A58" s="14" t="n"/>
      <c r="B58" s="14" t="n"/>
      <c r="C58" s="21">
        <f>IF(B58="","",IFERROR(INDEX(Listas!$B$2:$B$14,MATCH(B58,Listas!$A$2:$A$14,0)),"?"))</f>
        <v/>
      </c>
      <c r="D58" s="14" t="n"/>
      <c r="E58" s="14" t="n"/>
      <c r="F58" s="21">
        <f>IF(AND(D58="",E58=""),"",D58*60+E58)</f>
        <v/>
      </c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</row>
    <row r="59">
      <c r="A59" s="14" t="n"/>
      <c r="B59" s="14" t="n"/>
      <c r="C59" s="21">
        <f>IF(B59="","",IFERROR(INDEX(Listas!$B$2:$B$14,MATCH(B59,Listas!$A$2:$A$14,0)),"?"))</f>
        <v/>
      </c>
      <c r="D59" s="14" t="n"/>
      <c r="E59" s="14" t="n"/>
      <c r="F59" s="21">
        <f>IF(AND(D59="",E59=""),"",D59*60+E59)</f>
        <v/>
      </c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</row>
    <row r="60">
      <c r="A60" s="14" t="n"/>
      <c r="B60" s="14" t="n"/>
      <c r="C60" s="21">
        <f>IF(B60="","",IFERROR(INDEX(Listas!$B$2:$B$14,MATCH(B60,Listas!$A$2:$A$14,0)),"?"))</f>
        <v/>
      </c>
      <c r="D60" s="14" t="n"/>
      <c r="E60" s="14" t="n"/>
      <c r="F60" s="21">
        <f>IF(AND(D60="",E60=""),"",D60*60+E60)</f>
        <v/>
      </c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</row>
    <row r="61">
      <c r="A61" s="14" t="n"/>
      <c r="B61" s="14" t="n"/>
      <c r="C61" s="21">
        <f>IF(B61="","",IFERROR(INDEX(Listas!$B$2:$B$14,MATCH(B61,Listas!$A$2:$A$14,0)),"?"))</f>
        <v/>
      </c>
      <c r="D61" s="14" t="n"/>
      <c r="E61" s="14" t="n"/>
      <c r="F61" s="21">
        <f>IF(AND(D61="",E61=""),"",D61*60+E61)</f>
        <v/>
      </c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</row>
    <row r="62">
      <c r="A62" s="14" t="n"/>
      <c r="B62" s="14" t="n"/>
      <c r="C62" s="21">
        <f>IF(B62="","",IFERROR(INDEX(Listas!$B$2:$B$14,MATCH(B62,Listas!$A$2:$A$14,0)),"?"))</f>
        <v/>
      </c>
      <c r="D62" s="14" t="n"/>
      <c r="E62" s="14" t="n"/>
      <c r="F62" s="21">
        <f>IF(AND(D62="",E62=""),"",D62*60+E62)</f>
        <v/>
      </c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</row>
    <row r="63">
      <c r="A63" s="14" t="n"/>
      <c r="B63" s="14" t="n"/>
      <c r="C63" s="21">
        <f>IF(B63="","",IFERROR(INDEX(Listas!$B$2:$B$14,MATCH(B63,Listas!$A$2:$A$14,0)),"?"))</f>
        <v/>
      </c>
      <c r="D63" s="14" t="n"/>
      <c r="E63" s="14" t="n"/>
      <c r="F63" s="21">
        <f>IF(AND(D63="",E63=""),"",D63*60+E63)</f>
        <v/>
      </c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</row>
    <row r="64">
      <c r="A64" s="14" t="n"/>
      <c r="B64" s="14" t="n"/>
      <c r="C64" s="21">
        <f>IF(B64="","",IFERROR(INDEX(Listas!$B$2:$B$14,MATCH(B64,Listas!$A$2:$A$14,0)),"?"))</f>
        <v/>
      </c>
      <c r="D64" s="14" t="n"/>
      <c r="E64" s="14" t="n"/>
      <c r="F64" s="21">
        <f>IF(AND(D64="",E64=""),"",D64*60+E64)</f>
        <v/>
      </c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</row>
    <row r="65">
      <c r="A65" s="14" t="n"/>
      <c r="B65" s="14" t="n"/>
      <c r="C65" s="21">
        <f>IF(B65="","",IFERROR(INDEX(Listas!$B$2:$B$14,MATCH(B65,Listas!$A$2:$A$14,0)),"?"))</f>
        <v/>
      </c>
      <c r="D65" s="14" t="n"/>
      <c r="E65" s="14" t="n"/>
      <c r="F65" s="21">
        <f>IF(AND(D65="",E65=""),"",D65*60+E65)</f>
        <v/>
      </c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</row>
    <row r="66">
      <c r="A66" s="14" t="n"/>
      <c r="B66" s="14" t="n"/>
      <c r="C66" s="21">
        <f>IF(B66="","",IFERROR(INDEX(Listas!$B$2:$B$14,MATCH(B66,Listas!$A$2:$A$14,0)),"?"))</f>
        <v/>
      </c>
      <c r="D66" s="14" t="n"/>
      <c r="E66" s="14" t="n"/>
      <c r="F66" s="21">
        <f>IF(AND(D66="",E66=""),"",D66*60+E66)</f>
        <v/>
      </c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</row>
    <row r="67">
      <c r="A67" s="14" t="n"/>
      <c r="B67" s="14" t="n"/>
      <c r="C67" s="21">
        <f>IF(B67="","",IFERROR(INDEX(Listas!$B$2:$B$14,MATCH(B67,Listas!$A$2:$A$14,0)),"?"))</f>
        <v/>
      </c>
      <c r="D67" s="14" t="n"/>
      <c r="E67" s="14" t="n"/>
      <c r="F67" s="21">
        <f>IF(AND(D67="",E67=""),"",D67*60+E67)</f>
        <v/>
      </c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</row>
    <row r="68">
      <c r="A68" s="14" t="n"/>
      <c r="B68" s="14" t="n"/>
      <c r="C68" s="21">
        <f>IF(B68="","",IFERROR(INDEX(Listas!$B$2:$B$14,MATCH(B68,Listas!$A$2:$A$14,0)),"?"))</f>
        <v/>
      </c>
      <c r="D68" s="14" t="n"/>
      <c r="E68" s="14" t="n"/>
      <c r="F68" s="21">
        <f>IF(AND(D68="",E68=""),"",D68*60+E68)</f>
        <v/>
      </c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</row>
    <row r="69">
      <c r="A69" s="14" t="n"/>
      <c r="B69" s="14" t="n"/>
      <c r="C69" s="21">
        <f>IF(B69="","",IFERROR(INDEX(Listas!$B$2:$B$14,MATCH(B69,Listas!$A$2:$A$14,0)),"?"))</f>
        <v/>
      </c>
      <c r="D69" s="14" t="n"/>
      <c r="E69" s="14" t="n"/>
      <c r="F69" s="21">
        <f>IF(AND(D69="",E69=""),"",D69*60+E69)</f>
        <v/>
      </c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</row>
    <row r="70">
      <c r="A70" s="14" t="n"/>
      <c r="B70" s="14" t="n"/>
      <c r="C70" s="21">
        <f>IF(B70="","",IFERROR(INDEX(Listas!$B$2:$B$14,MATCH(B70,Listas!$A$2:$A$14,0)),"?"))</f>
        <v/>
      </c>
      <c r="D70" s="14" t="n"/>
      <c r="E70" s="14" t="n"/>
      <c r="F70" s="21">
        <f>IF(AND(D70="",E70=""),"",D70*60+E70)</f>
        <v/>
      </c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</row>
    <row r="71">
      <c r="A71" s="14" t="n"/>
      <c r="B71" s="14" t="n"/>
      <c r="C71" s="21">
        <f>IF(B71="","",IFERROR(INDEX(Listas!$B$2:$B$14,MATCH(B71,Listas!$A$2:$A$14,0)),"?"))</f>
        <v/>
      </c>
      <c r="D71" s="14" t="n"/>
      <c r="E71" s="14" t="n"/>
      <c r="F71" s="21">
        <f>IF(AND(D71="",E71=""),"",D71*60+E71)</f>
        <v/>
      </c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</row>
    <row r="72">
      <c r="A72" s="14" t="n"/>
      <c r="B72" s="14" t="n"/>
      <c r="C72" s="21">
        <f>IF(B72="","",IFERROR(INDEX(Listas!$B$2:$B$14,MATCH(B72,Listas!$A$2:$A$14,0)),"?"))</f>
        <v/>
      </c>
      <c r="D72" s="14" t="n"/>
      <c r="E72" s="14" t="n"/>
      <c r="F72" s="21">
        <f>IF(AND(D72="",E72=""),"",D72*60+E72)</f>
        <v/>
      </c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</row>
    <row r="73">
      <c r="A73" s="14" t="n"/>
      <c r="B73" s="14" t="n"/>
      <c r="C73" s="21">
        <f>IF(B73="","",IFERROR(INDEX(Listas!$B$2:$B$14,MATCH(B73,Listas!$A$2:$A$14,0)),"?"))</f>
        <v/>
      </c>
      <c r="D73" s="14" t="n"/>
      <c r="E73" s="14" t="n"/>
      <c r="F73" s="21">
        <f>IF(AND(D73="",E73=""),"",D73*60+E73)</f>
        <v/>
      </c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</row>
    <row r="74">
      <c r="A74" s="14" t="n"/>
      <c r="B74" s="14" t="n"/>
      <c r="C74" s="21">
        <f>IF(B74="","",IFERROR(INDEX(Listas!$B$2:$B$14,MATCH(B74,Listas!$A$2:$A$14,0)),"?"))</f>
        <v/>
      </c>
      <c r="D74" s="14" t="n"/>
      <c r="E74" s="14" t="n"/>
      <c r="F74" s="21">
        <f>IF(AND(D74="",E74=""),"",D74*60+E74)</f>
        <v/>
      </c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</row>
    <row r="75">
      <c r="A75" s="14" t="n"/>
      <c r="B75" s="14" t="n"/>
      <c r="C75" s="21">
        <f>IF(B75="","",IFERROR(INDEX(Listas!$B$2:$B$14,MATCH(B75,Listas!$A$2:$A$14,0)),"?"))</f>
        <v/>
      </c>
      <c r="D75" s="14" t="n"/>
      <c r="E75" s="14" t="n"/>
      <c r="F75" s="21">
        <f>IF(AND(D75="",E75=""),"",D75*60+E75)</f>
        <v/>
      </c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</row>
    <row r="76">
      <c r="A76" s="14" t="n"/>
      <c r="B76" s="14" t="n"/>
      <c r="C76" s="21">
        <f>IF(B76="","",IFERROR(INDEX(Listas!$B$2:$B$14,MATCH(B76,Listas!$A$2:$A$14,0)),"?"))</f>
        <v/>
      </c>
      <c r="D76" s="14" t="n"/>
      <c r="E76" s="14" t="n"/>
      <c r="F76" s="21">
        <f>IF(AND(D76="",E76=""),"",D76*60+E76)</f>
        <v/>
      </c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</row>
    <row r="77">
      <c r="A77" s="14" t="n"/>
      <c r="B77" s="14" t="n"/>
      <c r="C77" s="21">
        <f>IF(B77="","",IFERROR(INDEX(Listas!$B$2:$B$14,MATCH(B77,Listas!$A$2:$A$14,0)),"?"))</f>
        <v/>
      </c>
      <c r="D77" s="14" t="n"/>
      <c r="E77" s="14" t="n"/>
      <c r="F77" s="21">
        <f>IF(AND(D77="",E77=""),"",D77*60+E77)</f>
        <v/>
      </c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</row>
    <row r="78">
      <c r="A78" s="14" t="n"/>
      <c r="B78" s="14" t="n"/>
      <c r="C78" s="21">
        <f>IF(B78="","",IFERROR(INDEX(Listas!$B$2:$B$14,MATCH(B78,Listas!$A$2:$A$14,0)),"?"))</f>
        <v/>
      </c>
      <c r="D78" s="14" t="n"/>
      <c r="E78" s="14" t="n"/>
      <c r="F78" s="21">
        <f>IF(AND(D78="",E78=""),"",D78*60+E78)</f>
        <v/>
      </c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</row>
    <row r="79">
      <c r="A79" s="14" t="n"/>
      <c r="B79" s="14" t="n"/>
      <c r="C79" s="21">
        <f>IF(B79="","",IFERROR(INDEX(Listas!$B$2:$B$14,MATCH(B79,Listas!$A$2:$A$14,0)),"?"))</f>
        <v/>
      </c>
      <c r="D79" s="14" t="n"/>
      <c r="E79" s="14" t="n"/>
      <c r="F79" s="21">
        <f>IF(AND(D79="",E79=""),"",D79*60+E79)</f>
        <v/>
      </c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</row>
    <row r="80">
      <c r="A80" s="14" t="n"/>
      <c r="B80" s="14" t="n"/>
      <c r="C80" s="21">
        <f>IF(B80="","",IFERROR(INDEX(Listas!$B$2:$B$14,MATCH(B80,Listas!$A$2:$A$14,0)),"?"))</f>
        <v/>
      </c>
      <c r="D80" s="14" t="n"/>
      <c r="E80" s="14" t="n"/>
      <c r="F80" s="21">
        <f>IF(AND(D80="",E80=""),"",D80*60+E80)</f>
        <v/>
      </c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</row>
    <row r="81">
      <c r="A81" s="14" t="n"/>
      <c r="B81" s="14" t="n"/>
      <c r="C81" s="21">
        <f>IF(B81="","",IFERROR(INDEX(Listas!$B$2:$B$14,MATCH(B81,Listas!$A$2:$A$14,0)),"?"))</f>
        <v/>
      </c>
      <c r="D81" s="14" t="n"/>
      <c r="E81" s="14" t="n"/>
      <c r="F81" s="21">
        <f>IF(AND(D81="",E81=""),"",D81*60+E81)</f>
        <v/>
      </c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</row>
    <row r="82">
      <c r="A82" s="14" t="n"/>
      <c r="B82" s="14" t="n"/>
      <c r="C82" s="21">
        <f>IF(B82="","",IFERROR(INDEX(Listas!$B$2:$B$14,MATCH(B82,Listas!$A$2:$A$14,0)),"?"))</f>
        <v/>
      </c>
      <c r="D82" s="14" t="n"/>
      <c r="E82" s="14" t="n"/>
      <c r="F82" s="21">
        <f>IF(AND(D82="",E82=""),"",D82*60+E82)</f>
        <v/>
      </c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</row>
    <row r="83">
      <c r="A83" s="14" t="n"/>
      <c r="B83" s="14" t="n"/>
      <c r="C83" s="21">
        <f>IF(B83="","",IFERROR(INDEX(Listas!$B$2:$B$14,MATCH(B83,Listas!$A$2:$A$14,0)),"?"))</f>
        <v/>
      </c>
      <c r="D83" s="14" t="n"/>
      <c r="E83" s="14" t="n"/>
      <c r="F83" s="21">
        <f>IF(AND(D83="",E83=""),"",D83*60+E83)</f>
        <v/>
      </c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</row>
    <row r="84">
      <c r="A84" s="14" t="n"/>
      <c r="B84" s="14" t="n"/>
      <c r="C84" s="21">
        <f>IF(B84="","",IFERROR(INDEX(Listas!$B$2:$B$14,MATCH(B84,Listas!$A$2:$A$14,0)),"?"))</f>
        <v/>
      </c>
      <c r="D84" s="14" t="n"/>
      <c r="E84" s="14" t="n"/>
      <c r="F84" s="21">
        <f>IF(AND(D84="",E84=""),"",D84*60+E84)</f>
        <v/>
      </c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</row>
    <row r="85">
      <c r="A85" s="14" t="n"/>
      <c r="B85" s="14" t="n"/>
      <c r="C85" s="21">
        <f>IF(B85="","",IFERROR(INDEX(Listas!$B$2:$B$14,MATCH(B85,Listas!$A$2:$A$14,0)),"?"))</f>
        <v/>
      </c>
      <c r="D85" s="14" t="n"/>
      <c r="E85" s="14" t="n"/>
      <c r="F85" s="21">
        <f>IF(AND(D85="",E85=""),"",D85*60+E85)</f>
        <v/>
      </c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</row>
    <row r="86">
      <c r="A86" s="14" t="n"/>
      <c r="B86" s="14" t="n"/>
      <c r="C86" s="21">
        <f>IF(B86="","",IFERROR(INDEX(Listas!$B$2:$B$14,MATCH(B86,Listas!$A$2:$A$14,0)),"?"))</f>
        <v/>
      </c>
      <c r="D86" s="14" t="n"/>
      <c r="E86" s="14" t="n"/>
      <c r="F86" s="21">
        <f>IF(AND(D86="",E86=""),"",D86*60+E86)</f>
        <v/>
      </c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</row>
    <row r="87">
      <c r="A87" s="14" t="n"/>
      <c r="B87" s="14" t="n"/>
      <c r="C87" s="21">
        <f>IF(B87="","",IFERROR(INDEX(Listas!$B$2:$B$14,MATCH(B87,Listas!$A$2:$A$14,0)),"?"))</f>
        <v/>
      </c>
      <c r="D87" s="14" t="n"/>
      <c r="E87" s="14" t="n"/>
      <c r="F87" s="21">
        <f>IF(AND(D87="",E87=""),"",D87*60+E87)</f>
        <v/>
      </c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</row>
    <row r="88">
      <c r="A88" s="14" t="n"/>
      <c r="B88" s="14" t="n"/>
      <c r="C88" s="21">
        <f>IF(B88="","",IFERROR(INDEX(Listas!$B$2:$B$14,MATCH(B88,Listas!$A$2:$A$14,0)),"?"))</f>
        <v/>
      </c>
      <c r="D88" s="14" t="n"/>
      <c r="E88" s="14" t="n"/>
      <c r="F88" s="21">
        <f>IF(AND(D88="",E88=""),"",D88*60+E88)</f>
        <v/>
      </c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</row>
    <row r="89">
      <c r="A89" s="14" t="n"/>
      <c r="B89" s="14" t="n"/>
      <c r="C89" s="21">
        <f>IF(B89="","",IFERROR(INDEX(Listas!$B$2:$B$14,MATCH(B89,Listas!$A$2:$A$14,0)),"?"))</f>
        <v/>
      </c>
      <c r="D89" s="14" t="n"/>
      <c r="E89" s="14" t="n"/>
      <c r="F89" s="21">
        <f>IF(AND(D89="",E89=""),"",D89*60+E89)</f>
        <v/>
      </c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</row>
    <row r="90">
      <c r="A90" s="14" t="n"/>
      <c r="B90" s="14" t="n"/>
      <c r="C90" s="21">
        <f>IF(B90="","",IFERROR(INDEX(Listas!$B$2:$B$14,MATCH(B90,Listas!$A$2:$A$14,0)),"?"))</f>
        <v/>
      </c>
      <c r="D90" s="14" t="n"/>
      <c r="E90" s="14" t="n"/>
      <c r="F90" s="21">
        <f>IF(AND(D90="",E90=""),"",D90*60+E90)</f>
        <v/>
      </c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</row>
    <row r="91">
      <c r="A91" s="14" t="n"/>
      <c r="B91" s="14" t="n"/>
      <c r="C91" s="21">
        <f>IF(B91="","",IFERROR(INDEX(Listas!$B$2:$B$14,MATCH(B91,Listas!$A$2:$A$14,0)),"?"))</f>
        <v/>
      </c>
      <c r="D91" s="14" t="n"/>
      <c r="E91" s="14" t="n"/>
      <c r="F91" s="21">
        <f>IF(AND(D91="",E91=""),"",D91*60+E91)</f>
        <v/>
      </c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</row>
    <row r="92">
      <c r="A92" s="14" t="n"/>
      <c r="B92" s="14" t="n"/>
      <c r="C92" s="21">
        <f>IF(B92="","",IFERROR(INDEX(Listas!$B$2:$B$14,MATCH(B92,Listas!$A$2:$A$14,0)),"?"))</f>
        <v/>
      </c>
      <c r="D92" s="14" t="n"/>
      <c r="E92" s="14" t="n"/>
      <c r="F92" s="21">
        <f>IF(AND(D92="",E92=""),"",D92*60+E92)</f>
        <v/>
      </c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</row>
    <row r="93">
      <c r="A93" s="14" t="n"/>
      <c r="B93" s="14" t="n"/>
      <c r="C93" s="21">
        <f>IF(B93="","",IFERROR(INDEX(Listas!$B$2:$B$14,MATCH(B93,Listas!$A$2:$A$14,0)),"?"))</f>
        <v/>
      </c>
      <c r="D93" s="14" t="n"/>
      <c r="E93" s="14" t="n"/>
      <c r="F93" s="21">
        <f>IF(AND(D93="",E93=""),"",D93*60+E93)</f>
        <v/>
      </c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</row>
    <row r="94">
      <c r="A94" s="14" t="n"/>
      <c r="B94" s="14" t="n"/>
      <c r="C94" s="21">
        <f>IF(B94="","",IFERROR(INDEX(Listas!$B$2:$B$14,MATCH(B94,Listas!$A$2:$A$14,0)),"?"))</f>
        <v/>
      </c>
      <c r="D94" s="14" t="n"/>
      <c r="E94" s="14" t="n"/>
      <c r="F94" s="21">
        <f>IF(AND(D94="",E94=""),"",D94*60+E94)</f>
        <v/>
      </c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</row>
    <row r="95">
      <c r="A95" s="14" t="n"/>
      <c r="B95" s="14" t="n"/>
      <c r="C95" s="21">
        <f>IF(B95="","",IFERROR(INDEX(Listas!$B$2:$B$14,MATCH(B95,Listas!$A$2:$A$14,0)),"?"))</f>
        <v/>
      </c>
      <c r="D95" s="14" t="n"/>
      <c r="E95" s="14" t="n"/>
      <c r="F95" s="21">
        <f>IF(AND(D95="",E95=""),"",D95*60+E95)</f>
        <v/>
      </c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</row>
    <row r="96">
      <c r="A96" s="14" t="n"/>
      <c r="B96" s="14" t="n"/>
      <c r="C96" s="21">
        <f>IF(B96="","",IFERROR(INDEX(Listas!$B$2:$B$14,MATCH(B96,Listas!$A$2:$A$14,0)),"?"))</f>
        <v/>
      </c>
      <c r="D96" s="14" t="n"/>
      <c r="E96" s="14" t="n"/>
      <c r="F96" s="21">
        <f>IF(AND(D96="",E96=""),"",D96*60+E96)</f>
        <v/>
      </c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</row>
    <row r="97">
      <c r="A97" s="14" t="n"/>
      <c r="B97" s="14" t="n"/>
      <c r="C97" s="21">
        <f>IF(B97="","",IFERROR(INDEX(Listas!$B$2:$B$14,MATCH(B97,Listas!$A$2:$A$14,0)),"?"))</f>
        <v/>
      </c>
      <c r="D97" s="14" t="n"/>
      <c r="E97" s="14" t="n"/>
      <c r="F97" s="21">
        <f>IF(AND(D97="",E97=""),"",D97*60+E97)</f>
        <v/>
      </c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</row>
    <row r="98">
      <c r="A98" s="14" t="n"/>
      <c r="B98" s="14" t="n"/>
      <c r="C98" s="21">
        <f>IF(B98="","",IFERROR(INDEX(Listas!$B$2:$B$14,MATCH(B98,Listas!$A$2:$A$14,0)),"?"))</f>
        <v/>
      </c>
      <c r="D98" s="14" t="n"/>
      <c r="E98" s="14" t="n"/>
      <c r="F98" s="21">
        <f>IF(AND(D98="",E98=""),"",D98*60+E98)</f>
        <v/>
      </c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</row>
    <row r="99">
      <c r="A99" s="14" t="n"/>
      <c r="B99" s="14" t="n"/>
      <c r="C99" s="21">
        <f>IF(B99="","",IFERROR(INDEX(Listas!$B$2:$B$14,MATCH(B99,Listas!$A$2:$A$14,0)),"?"))</f>
        <v/>
      </c>
      <c r="D99" s="14" t="n"/>
      <c r="E99" s="14" t="n"/>
      <c r="F99" s="21">
        <f>IF(AND(D99="",E99=""),"",D99*60+E99)</f>
        <v/>
      </c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</row>
    <row r="100">
      <c r="A100" s="14" t="n"/>
      <c r="B100" s="14" t="n"/>
      <c r="C100" s="21">
        <f>IF(B100="","",IFERROR(INDEX(Listas!$B$2:$B$14,MATCH(B100,Listas!$A$2:$A$14,0)),"?"))</f>
        <v/>
      </c>
      <c r="D100" s="14" t="n"/>
      <c r="E100" s="14" t="n"/>
      <c r="F100" s="21">
        <f>IF(AND(D100="",E100=""),"",D100*60+E100)</f>
        <v/>
      </c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</row>
    <row r="101">
      <c r="A101" s="14" t="n"/>
      <c r="B101" s="14" t="n"/>
      <c r="C101" s="21">
        <f>IF(B101="","",IFERROR(INDEX(Listas!$B$2:$B$14,MATCH(B101,Listas!$A$2:$A$14,0)),"?"))</f>
        <v/>
      </c>
      <c r="D101" s="14" t="n"/>
      <c r="E101" s="14" t="n"/>
      <c r="F101" s="21">
        <f>IF(AND(D101="",E101=""),"",D101*60+E101)</f>
        <v/>
      </c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</row>
    <row r="102">
      <c r="A102" s="14" t="n"/>
      <c r="B102" s="14" t="n"/>
      <c r="C102" s="21">
        <f>IF(B102="","",IFERROR(INDEX(Listas!$B$2:$B$14,MATCH(B102,Listas!$A$2:$A$14,0)),"?"))</f>
        <v/>
      </c>
      <c r="D102" s="14" t="n"/>
      <c r="E102" s="14" t="n"/>
      <c r="F102" s="21">
        <f>IF(AND(D102="",E102=""),"",D102*60+E102)</f>
        <v/>
      </c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</row>
    <row r="103">
      <c r="A103" s="14" t="n"/>
      <c r="B103" s="14" t="n"/>
      <c r="C103" s="21">
        <f>IF(B103="","",IFERROR(INDEX(Listas!$B$2:$B$14,MATCH(B103,Listas!$A$2:$A$14,0)),"?"))</f>
        <v/>
      </c>
      <c r="D103" s="14" t="n"/>
      <c r="E103" s="14" t="n"/>
      <c r="F103" s="21">
        <f>IF(AND(D103="",E103=""),"",D103*60+E103)</f>
        <v/>
      </c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</row>
    <row r="104">
      <c r="A104" s="14" t="n"/>
      <c r="B104" s="14" t="n"/>
      <c r="C104" s="21">
        <f>IF(B104="","",IFERROR(INDEX(Listas!$B$2:$B$14,MATCH(B104,Listas!$A$2:$A$14,0)),"?"))</f>
        <v/>
      </c>
      <c r="D104" s="14" t="n"/>
      <c r="E104" s="14" t="n"/>
      <c r="F104" s="21">
        <f>IF(AND(D104="",E104=""),"",D104*60+E104)</f>
        <v/>
      </c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</row>
    <row r="105">
      <c r="A105" s="14" t="n"/>
      <c r="B105" s="14" t="n"/>
      <c r="C105" s="21">
        <f>IF(B105="","",IFERROR(INDEX(Listas!$B$2:$B$14,MATCH(B105,Listas!$A$2:$A$14,0)),"?"))</f>
        <v/>
      </c>
      <c r="D105" s="14" t="n"/>
      <c r="E105" s="14" t="n"/>
      <c r="F105" s="21">
        <f>IF(AND(D105="",E105=""),"",D105*60+E105)</f>
        <v/>
      </c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</row>
    <row r="106">
      <c r="A106" s="14" t="n"/>
      <c r="B106" s="14" t="n"/>
      <c r="C106" s="21">
        <f>IF(B106="","",IFERROR(INDEX(Listas!$B$2:$B$14,MATCH(B106,Listas!$A$2:$A$14,0)),"?"))</f>
        <v/>
      </c>
      <c r="D106" s="14" t="n"/>
      <c r="E106" s="14" t="n"/>
      <c r="F106" s="21">
        <f>IF(AND(D106="",E106=""),"",D106*60+E106)</f>
        <v/>
      </c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</row>
    <row r="107">
      <c r="A107" s="14" t="n"/>
      <c r="B107" s="14" t="n"/>
      <c r="C107" s="21">
        <f>IF(B107="","",IFERROR(INDEX(Listas!$B$2:$B$14,MATCH(B107,Listas!$A$2:$A$14,0)),"?"))</f>
        <v/>
      </c>
      <c r="D107" s="14" t="n"/>
      <c r="E107" s="14" t="n"/>
      <c r="F107" s="21">
        <f>IF(AND(D107="",E107=""),"",D107*60+E107)</f>
        <v/>
      </c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</row>
    <row r="108">
      <c r="A108" s="14" t="n"/>
      <c r="B108" s="14" t="n"/>
      <c r="C108" s="21">
        <f>IF(B108="","",IFERROR(INDEX(Listas!$B$2:$B$14,MATCH(B108,Listas!$A$2:$A$14,0)),"?"))</f>
        <v/>
      </c>
      <c r="D108" s="14" t="n"/>
      <c r="E108" s="14" t="n"/>
      <c r="F108" s="21">
        <f>IF(AND(D108="",E108=""),"",D108*60+E108)</f>
        <v/>
      </c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</row>
    <row r="109">
      <c r="A109" s="14" t="n"/>
      <c r="B109" s="14" t="n"/>
      <c r="C109" s="21">
        <f>IF(B109="","",IFERROR(INDEX(Listas!$B$2:$B$14,MATCH(B109,Listas!$A$2:$A$14,0)),"?"))</f>
        <v/>
      </c>
      <c r="D109" s="14" t="n"/>
      <c r="E109" s="14" t="n"/>
      <c r="F109" s="21">
        <f>IF(AND(D109="",E109=""),"",D109*60+E109)</f>
        <v/>
      </c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</row>
    <row r="110">
      <c r="A110" s="14" t="n"/>
      <c r="B110" s="14" t="n"/>
      <c r="C110" s="21">
        <f>IF(B110="","",IFERROR(INDEX(Listas!$B$2:$B$14,MATCH(B110,Listas!$A$2:$A$14,0)),"?"))</f>
        <v/>
      </c>
      <c r="D110" s="14" t="n"/>
      <c r="E110" s="14" t="n"/>
      <c r="F110" s="21">
        <f>IF(AND(D110="",E110=""),"",D110*60+E110)</f>
        <v/>
      </c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</row>
    <row r="111">
      <c r="A111" s="14" t="n"/>
      <c r="B111" s="14" t="n"/>
      <c r="C111" s="21">
        <f>IF(B111="","",IFERROR(INDEX(Listas!$B$2:$B$14,MATCH(B111,Listas!$A$2:$A$14,0)),"?"))</f>
        <v/>
      </c>
      <c r="D111" s="14" t="n"/>
      <c r="E111" s="14" t="n"/>
      <c r="F111" s="21">
        <f>IF(AND(D111="",E111=""),"",D111*60+E111)</f>
        <v/>
      </c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</row>
    <row r="112">
      <c r="A112" s="14" t="n"/>
      <c r="B112" s="14" t="n"/>
      <c r="C112" s="21">
        <f>IF(B112="","",IFERROR(INDEX(Listas!$B$2:$B$14,MATCH(B112,Listas!$A$2:$A$14,0)),"?"))</f>
        <v/>
      </c>
      <c r="D112" s="14" t="n"/>
      <c r="E112" s="14" t="n"/>
      <c r="F112" s="21">
        <f>IF(AND(D112="",E112=""),"",D112*60+E112)</f>
        <v/>
      </c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</row>
    <row r="113">
      <c r="A113" s="14" t="n"/>
      <c r="B113" s="14" t="n"/>
      <c r="C113" s="21">
        <f>IF(B113="","",IFERROR(INDEX(Listas!$B$2:$B$14,MATCH(B113,Listas!$A$2:$A$14,0)),"?"))</f>
        <v/>
      </c>
      <c r="D113" s="14" t="n"/>
      <c r="E113" s="14" t="n"/>
      <c r="F113" s="21">
        <f>IF(AND(D113="",E113=""),"",D113*60+E113)</f>
        <v/>
      </c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</row>
    <row r="114">
      <c r="A114" s="14" t="n"/>
      <c r="B114" s="14" t="n"/>
      <c r="C114" s="21">
        <f>IF(B114="","",IFERROR(INDEX(Listas!$B$2:$B$14,MATCH(B114,Listas!$A$2:$A$14,0)),"?"))</f>
        <v/>
      </c>
      <c r="D114" s="14" t="n"/>
      <c r="E114" s="14" t="n"/>
      <c r="F114" s="21">
        <f>IF(AND(D114="",E114=""),"",D114*60+E114)</f>
        <v/>
      </c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</row>
    <row r="115">
      <c r="A115" s="14" t="n"/>
      <c r="B115" s="14" t="n"/>
      <c r="C115" s="21">
        <f>IF(B115="","",IFERROR(INDEX(Listas!$B$2:$B$14,MATCH(B115,Listas!$A$2:$A$14,0)),"?"))</f>
        <v/>
      </c>
      <c r="D115" s="14" t="n"/>
      <c r="E115" s="14" t="n"/>
      <c r="F115" s="21">
        <f>IF(AND(D115="",E115=""),"",D115*60+E115)</f>
        <v/>
      </c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</row>
    <row r="116">
      <c r="A116" s="14" t="n"/>
      <c r="B116" s="14" t="n"/>
      <c r="C116" s="21">
        <f>IF(B116="","",IFERROR(INDEX(Listas!$B$2:$B$14,MATCH(B116,Listas!$A$2:$A$14,0)),"?"))</f>
        <v/>
      </c>
      <c r="D116" s="14" t="n"/>
      <c r="E116" s="14" t="n"/>
      <c r="F116" s="21">
        <f>IF(AND(D116="",E116=""),"",D116*60+E116)</f>
        <v/>
      </c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</row>
    <row r="117">
      <c r="A117" s="14" t="n"/>
      <c r="B117" s="14" t="n"/>
      <c r="C117" s="21">
        <f>IF(B117="","",IFERROR(INDEX(Listas!$B$2:$B$14,MATCH(B117,Listas!$A$2:$A$14,0)),"?"))</f>
        <v/>
      </c>
      <c r="D117" s="14" t="n"/>
      <c r="E117" s="14" t="n"/>
      <c r="F117" s="21">
        <f>IF(AND(D117="",E117=""),"",D117*60+E117)</f>
        <v/>
      </c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</row>
    <row r="118">
      <c r="A118" s="14" t="n"/>
      <c r="B118" s="14" t="n"/>
      <c r="C118" s="21">
        <f>IF(B118="","",IFERROR(INDEX(Listas!$B$2:$B$14,MATCH(B118,Listas!$A$2:$A$14,0)),"?"))</f>
        <v/>
      </c>
      <c r="D118" s="14" t="n"/>
      <c r="E118" s="14" t="n"/>
      <c r="F118" s="21">
        <f>IF(AND(D118="",E118=""),"",D118*60+E118)</f>
        <v/>
      </c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</row>
    <row r="119">
      <c r="A119" s="14" t="n"/>
      <c r="B119" s="14" t="n"/>
      <c r="C119" s="21">
        <f>IF(B119="","",IFERROR(INDEX(Listas!$B$2:$B$14,MATCH(B119,Listas!$A$2:$A$14,0)),"?"))</f>
        <v/>
      </c>
      <c r="D119" s="14" t="n"/>
      <c r="E119" s="14" t="n"/>
      <c r="F119" s="21">
        <f>IF(AND(D119="",E119=""),"",D119*60+E119)</f>
        <v/>
      </c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</row>
    <row r="120">
      <c r="A120" s="14" t="n"/>
      <c r="B120" s="14" t="n"/>
      <c r="C120" s="21">
        <f>IF(B120="","",IFERROR(INDEX(Listas!$B$2:$B$14,MATCH(B120,Listas!$A$2:$A$14,0)),"?"))</f>
        <v/>
      </c>
      <c r="D120" s="14" t="n"/>
      <c r="E120" s="14" t="n"/>
      <c r="F120" s="21">
        <f>IF(AND(D120="",E120=""),"",D120*60+E120)</f>
        <v/>
      </c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</row>
    <row r="121">
      <c r="A121" s="14" t="n"/>
      <c r="B121" s="14" t="n"/>
      <c r="C121" s="21">
        <f>IF(B121="","",IFERROR(INDEX(Listas!$B$2:$B$14,MATCH(B121,Listas!$A$2:$A$14,0)),"?"))</f>
        <v/>
      </c>
      <c r="D121" s="14" t="n"/>
      <c r="E121" s="14" t="n"/>
      <c r="F121" s="21">
        <f>IF(AND(D121="",E121=""),"",D121*60+E121)</f>
        <v/>
      </c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</row>
    <row r="122">
      <c r="A122" s="14" t="n"/>
      <c r="B122" s="14" t="n"/>
      <c r="C122" s="21">
        <f>IF(B122="","",IFERROR(INDEX(Listas!$B$2:$B$14,MATCH(B122,Listas!$A$2:$A$14,0)),"?"))</f>
        <v/>
      </c>
      <c r="D122" s="14" t="n"/>
      <c r="E122" s="14" t="n"/>
      <c r="F122" s="21">
        <f>IF(AND(D122="",E122=""),"",D122*60+E122)</f>
        <v/>
      </c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</row>
    <row r="123">
      <c r="A123" s="14" t="n"/>
      <c r="B123" s="14" t="n"/>
      <c r="C123" s="21">
        <f>IF(B123="","",IFERROR(INDEX(Listas!$B$2:$B$14,MATCH(B123,Listas!$A$2:$A$14,0)),"?"))</f>
        <v/>
      </c>
      <c r="D123" s="14" t="n"/>
      <c r="E123" s="14" t="n"/>
      <c r="F123" s="21">
        <f>IF(AND(D123="",E123=""),"",D123*60+E123)</f>
        <v/>
      </c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</row>
    <row r="124">
      <c r="A124" s="14" t="n"/>
      <c r="B124" s="14" t="n"/>
      <c r="C124" s="21">
        <f>IF(B124="","",IFERROR(INDEX(Listas!$B$2:$B$14,MATCH(B124,Listas!$A$2:$A$14,0)),"?"))</f>
        <v/>
      </c>
      <c r="D124" s="14" t="n"/>
      <c r="E124" s="14" t="n"/>
      <c r="F124" s="21">
        <f>IF(AND(D124="",E124=""),"",D124*60+E124)</f>
        <v/>
      </c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</row>
    <row r="125">
      <c r="A125" s="14" t="n"/>
      <c r="B125" s="14" t="n"/>
      <c r="C125" s="21">
        <f>IF(B125="","",IFERROR(INDEX(Listas!$B$2:$B$14,MATCH(B125,Listas!$A$2:$A$14,0)),"?"))</f>
        <v/>
      </c>
      <c r="D125" s="14" t="n"/>
      <c r="E125" s="14" t="n"/>
      <c r="F125" s="21">
        <f>IF(AND(D125="",E125=""),"",D125*60+E125)</f>
        <v/>
      </c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</row>
    <row r="126">
      <c r="A126" s="14" t="n"/>
      <c r="B126" s="14" t="n"/>
      <c r="C126" s="21">
        <f>IF(B126="","",IFERROR(INDEX(Listas!$B$2:$B$14,MATCH(B126,Listas!$A$2:$A$14,0)),"?"))</f>
        <v/>
      </c>
      <c r="D126" s="14" t="n"/>
      <c r="E126" s="14" t="n"/>
      <c r="F126" s="21">
        <f>IF(AND(D126="",E126=""),"",D126*60+E126)</f>
        <v/>
      </c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</row>
    <row r="127">
      <c r="A127" s="14" t="n"/>
      <c r="B127" s="14" t="n"/>
      <c r="C127" s="21">
        <f>IF(B127="","",IFERROR(INDEX(Listas!$B$2:$B$14,MATCH(B127,Listas!$A$2:$A$14,0)),"?"))</f>
        <v/>
      </c>
      <c r="D127" s="14" t="n"/>
      <c r="E127" s="14" t="n"/>
      <c r="F127" s="21">
        <f>IF(AND(D127="",E127=""),"",D127*60+E127)</f>
        <v/>
      </c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</row>
    <row r="128">
      <c r="A128" s="14" t="n"/>
      <c r="B128" s="14" t="n"/>
      <c r="C128" s="21">
        <f>IF(B128="","",IFERROR(INDEX(Listas!$B$2:$B$14,MATCH(B128,Listas!$A$2:$A$14,0)),"?"))</f>
        <v/>
      </c>
      <c r="D128" s="14" t="n"/>
      <c r="E128" s="14" t="n"/>
      <c r="F128" s="21">
        <f>IF(AND(D128="",E128=""),"",D128*60+E128)</f>
        <v/>
      </c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</row>
    <row r="129">
      <c r="A129" s="14" t="n"/>
      <c r="B129" s="14" t="n"/>
      <c r="C129" s="21">
        <f>IF(B129="","",IFERROR(INDEX(Listas!$B$2:$B$14,MATCH(B129,Listas!$A$2:$A$14,0)),"?"))</f>
        <v/>
      </c>
      <c r="D129" s="14" t="n"/>
      <c r="E129" s="14" t="n"/>
      <c r="F129" s="21">
        <f>IF(AND(D129="",E129=""),"",D129*60+E129)</f>
        <v/>
      </c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</row>
    <row r="130">
      <c r="A130" s="14" t="n"/>
      <c r="B130" s="14" t="n"/>
      <c r="C130" s="21">
        <f>IF(B130="","",IFERROR(INDEX(Listas!$B$2:$B$14,MATCH(B130,Listas!$A$2:$A$14,0)),"?"))</f>
        <v/>
      </c>
      <c r="D130" s="14" t="n"/>
      <c r="E130" s="14" t="n"/>
      <c r="F130" s="21">
        <f>IF(AND(D130="",E130=""),"",D130*60+E130)</f>
        <v/>
      </c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</row>
    <row r="131">
      <c r="A131" s="14" t="n"/>
      <c r="B131" s="14" t="n"/>
      <c r="C131" s="21">
        <f>IF(B131="","",IFERROR(INDEX(Listas!$B$2:$B$14,MATCH(B131,Listas!$A$2:$A$14,0)),"?"))</f>
        <v/>
      </c>
      <c r="D131" s="14" t="n"/>
      <c r="E131" s="14" t="n"/>
      <c r="F131" s="21">
        <f>IF(AND(D131="",E131=""),"",D131*60+E131)</f>
        <v/>
      </c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</row>
    <row r="132">
      <c r="A132" s="14" t="n"/>
      <c r="B132" s="14" t="n"/>
      <c r="C132" s="21">
        <f>IF(B132="","",IFERROR(INDEX(Listas!$B$2:$B$14,MATCH(B132,Listas!$A$2:$A$14,0)),"?"))</f>
        <v/>
      </c>
      <c r="D132" s="14" t="n"/>
      <c r="E132" s="14" t="n"/>
      <c r="F132" s="21">
        <f>IF(AND(D132="",E132=""),"",D132*60+E132)</f>
        <v/>
      </c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</row>
    <row r="133">
      <c r="A133" s="14" t="n"/>
      <c r="B133" s="14" t="n"/>
      <c r="C133" s="21">
        <f>IF(B133="","",IFERROR(INDEX(Listas!$B$2:$B$14,MATCH(B133,Listas!$A$2:$A$14,0)),"?"))</f>
        <v/>
      </c>
      <c r="D133" s="14" t="n"/>
      <c r="E133" s="14" t="n"/>
      <c r="F133" s="21">
        <f>IF(AND(D133="",E133=""),"",D133*60+E133)</f>
        <v/>
      </c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</row>
    <row r="134">
      <c r="A134" s="14" t="n"/>
      <c r="B134" s="14" t="n"/>
      <c r="C134" s="21">
        <f>IF(B134="","",IFERROR(INDEX(Listas!$B$2:$B$14,MATCH(B134,Listas!$A$2:$A$14,0)),"?"))</f>
        <v/>
      </c>
      <c r="D134" s="14" t="n"/>
      <c r="E134" s="14" t="n"/>
      <c r="F134" s="21">
        <f>IF(AND(D134="",E134=""),"",D134*60+E134)</f>
        <v/>
      </c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</row>
    <row r="135">
      <c r="A135" s="14" t="n"/>
      <c r="B135" s="14" t="n"/>
      <c r="C135" s="21">
        <f>IF(B135="","",IFERROR(INDEX(Listas!$B$2:$B$14,MATCH(B135,Listas!$A$2:$A$14,0)),"?"))</f>
        <v/>
      </c>
      <c r="D135" s="14" t="n"/>
      <c r="E135" s="14" t="n"/>
      <c r="F135" s="21">
        <f>IF(AND(D135="",E135=""),"",D135*60+E135)</f>
        <v/>
      </c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</row>
    <row r="136">
      <c r="A136" s="14" t="n"/>
      <c r="B136" s="14" t="n"/>
      <c r="C136" s="21">
        <f>IF(B136="","",IFERROR(INDEX(Listas!$B$2:$B$14,MATCH(B136,Listas!$A$2:$A$14,0)),"?"))</f>
        <v/>
      </c>
      <c r="D136" s="14" t="n"/>
      <c r="E136" s="14" t="n"/>
      <c r="F136" s="21">
        <f>IF(AND(D136="",E136=""),"",D136*60+E136)</f>
        <v/>
      </c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</row>
    <row r="137">
      <c r="A137" s="14" t="n"/>
      <c r="B137" s="14" t="n"/>
      <c r="C137" s="21">
        <f>IF(B137="","",IFERROR(INDEX(Listas!$B$2:$B$14,MATCH(B137,Listas!$A$2:$A$14,0)),"?"))</f>
        <v/>
      </c>
      <c r="D137" s="14" t="n"/>
      <c r="E137" s="14" t="n"/>
      <c r="F137" s="21">
        <f>IF(AND(D137="",E137=""),"",D137*60+E137)</f>
        <v/>
      </c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</row>
    <row r="138">
      <c r="A138" s="14" t="n"/>
      <c r="B138" s="14" t="n"/>
      <c r="C138" s="21">
        <f>IF(B138="","",IFERROR(INDEX(Listas!$B$2:$B$14,MATCH(B138,Listas!$A$2:$A$14,0)),"?"))</f>
        <v/>
      </c>
      <c r="D138" s="14" t="n"/>
      <c r="E138" s="14" t="n"/>
      <c r="F138" s="21">
        <f>IF(AND(D138="",E138=""),"",D138*60+E138)</f>
        <v/>
      </c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</row>
    <row r="139">
      <c r="A139" s="14" t="n"/>
      <c r="B139" s="14" t="n"/>
      <c r="C139" s="21">
        <f>IF(B139="","",IFERROR(INDEX(Listas!$B$2:$B$14,MATCH(B139,Listas!$A$2:$A$14,0)),"?"))</f>
        <v/>
      </c>
      <c r="D139" s="14" t="n"/>
      <c r="E139" s="14" t="n"/>
      <c r="F139" s="21">
        <f>IF(AND(D139="",E139=""),"",D139*60+E139)</f>
        <v/>
      </c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</row>
    <row r="140">
      <c r="A140" s="14" t="n"/>
      <c r="B140" s="14" t="n"/>
      <c r="C140" s="21">
        <f>IF(B140="","",IFERROR(INDEX(Listas!$B$2:$B$14,MATCH(B140,Listas!$A$2:$A$14,0)),"?"))</f>
        <v/>
      </c>
      <c r="D140" s="14" t="n"/>
      <c r="E140" s="14" t="n"/>
      <c r="F140" s="21">
        <f>IF(AND(D140="",E140=""),"",D140*60+E140)</f>
        <v/>
      </c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</row>
    <row r="141">
      <c r="A141" s="14" t="n"/>
      <c r="B141" s="14" t="n"/>
      <c r="C141" s="21">
        <f>IF(B141="","",IFERROR(INDEX(Listas!$B$2:$B$14,MATCH(B141,Listas!$A$2:$A$14,0)),"?"))</f>
        <v/>
      </c>
      <c r="D141" s="14" t="n"/>
      <c r="E141" s="14" t="n"/>
      <c r="F141" s="21">
        <f>IF(AND(D141="",E141=""),"",D141*60+E141)</f>
        <v/>
      </c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</row>
    <row r="142">
      <c r="A142" s="14" t="n"/>
      <c r="B142" s="14" t="n"/>
      <c r="C142" s="21">
        <f>IF(B142="","",IFERROR(INDEX(Listas!$B$2:$B$14,MATCH(B142,Listas!$A$2:$A$14,0)),"?"))</f>
        <v/>
      </c>
      <c r="D142" s="14" t="n"/>
      <c r="E142" s="14" t="n"/>
      <c r="F142" s="21">
        <f>IF(AND(D142="",E142=""),"",D142*60+E142)</f>
        <v/>
      </c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</row>
    <row r="143">
      <c r="A143" s="14" t="n"/>
      <c r="B143" s="14" t="n"/>
      <c r="C143" s="21">
        <f>IF(B143="","",IFERROR(INDEX(Listas!$B$2:$B$14,MATCH(B143,Listas!$A$2:$A$14,0)),"?"))</f>
        <v/>
      </c>
      <c r="D143" s="14" t="n"/>
      <c r="E143" s="14" t="n"/>
      <c r="F143" s="21">
        <f>IF(AND(D143="",E143=""),"",D143*60+E143)</f>
        <v/>
      </c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</row>
    <row r="144">
      <c r="A144" s="14" t="n"/>
      <c r="B144" s="14" t="n"/>
      <c r="C144" s="21">
        <f>IF(B144="","",IFERROR(INDEX(Listas!$B$2:$B$14,MATCH(B144,Listas!$A$2:$A$14,0)),"?"))</f>
        <v/>
      </c>
      <c r="D144" s="14" t="n"/>
      <c r="E144" s="14" t="n"/>
      <c r="F144" s="21">
        <f>IF(AND(D144="",E144=""),"",D144*60+E144)</f>
        <v/>
      </c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</row>
    <row r="145">
      <c r="A145" s="14" t="n"/>
      <c r="B145" s="14" t="n"/>
      <c r="C145" s="21">
        <f>IF(B145="","",IFERROR(INDEX(Listas!$B$2:$B$14,MATCH(B145,Listas!$A$2:$A$14,0)),"?"))</f>
        <v/>
      </c>
      <c r="D145" s="14" t="n"/>
      <c r="E145" s="14" t="n"/>
      <c r="F145" s="21">
        <f>IF(AND(D145="",E145=""),"",D145*60+E145)</f>
        <v/>
      </c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</row>
    <row r="146">
      <c r="A146" s="14" t="n"/>
      <c r="B146" s="14" t="n"/>
      <c r="C146" s="21">
        <f>IF(B146="","",IFERROR(INDEX(Listas!$B$2:$B$14,MATCH(B146,Listas!$A$2:$A$14,0)),"?"))</f>
        <v/>
      </c>
      <c r="D146" s="14" t="n"/>
      <c r="E146" s="14" t="n"/>
      <c r="F146" s="21">
        <f>IF(AND(D146="",E146=""),"",D146*60+E146)</f>
        <v/>
      </c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</row>
    <row r="147">
      <c r="A147" s="14" t="n"/>
      <c r="B147" s="14" t="n"/>
      <c r="C147" s="21">
        <f>IF(B147="","",IFERROR(INDEX(Listas!$B$2:$B$14,MATCH(B147,Listas!$A$2:$A$14,0)),"?"))</f>
        <v/>
      </c>
      <c r="D147" s="14" t="n"/>
      <c r="E147" s="14" t="n"/>
      <c r="F147" s="21">
        <f>IF(AND(D147="",E147=""),"",D147*60+E147)</f>
        <v/>
      </c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</row>
    <row r="148">
      <c r="A148" s="14" t="n"/>
      <c r="B148" s="14" t="n"/>
      <c r="C148" s="21">
        <f>IF(B148="","",IFERROR(INDEX(Listas!$B$2:$B$14,MATCH(B148,Listas!$A$2:$A$14,0)),"?"))</f>
        <v/>
      </c>
      <c r="D148" s="14" t="n"/>
      <c r="E148" s="14" t="n"/>
      <c r="F148" s="21">
        <f>IF(AND(D148="",E148=""),"",D148*60+E148)</f>
        <v/>
      </c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</row>
    <row r="149">
      <c r="A149" s="14" t="n"/>
      <c r="B149" s="14" t="n"/>
      <c r="C149" s="21">
        <f>IF(B149="","",IFERROR(INDEX(Listas!$B$2:$B$14,MATCH(B149,Listas!$A$2:$A$14,0)),"?"))</f>
        <v/>
      </c>
      <c r="D149" s="14" t="n"/>
      <c r="E149" s="14" t="n"/>
      <c r="F149" s="21">
        <f>IF(AND(D149="",E149=""),"",D149*60+E149)</f>
        <v/>
      </c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</row>
    <row r="150">
      <c r="A150" s="14" t="n"/>
      <c r="B150" s="14" t="n"/>
      <c r="C150" s="21">
        <f>IF(B150="","",IFERROR(INDEX(Listas!$B$2:$B$14,MATCH(B150,Listas!$A$2:$A$14,0)),"?"))</f>
        <v/>
      </c>
      <c r="D150" s="14" t="n"/>
      <c r="E150" s="14" t="n"/>
      <c r="F150" s="21">
        <f>IF(AND(D150="",E150=""),"",D150*60+E150)</f>
        <v/>
      </c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</row>
    <row r="151">
      <c r="A151" s="14" t="n"/>
      <c r="B151" s="14" t="n"/>
      <c r="C151" s="21">
        <f>IF(B151="","",IFERROR(INDEX(Listas!$B$2:$B$14,MATCH(B151,Listas!$A$2:$A$14,0)),"?"))</f>
        <v/>
      </c>
      <c r="D151" s="14" t="n"/>
      <c r="E151" s="14" t="n"/>
      <c r="F151" s="21">
        <f>IF(AND(D151="",E151=""),"",D151*60+E151)</f>
        <v/>
      </c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</row>
    <row r="152">
      <c r="A152" s="14" t="n"/>
      <c r="B152" s="14" t="n"/>
      <c r="C152" s="21">
        <f>IF(B152="","",IFERROR(INDEX(Listas!$B$2:$B$14,MATCH(B152,Listas!$A$2:$A$14,0)),"?"))</f>
        <v/>
      </c>
      <c r="D152" s="14" t="n"/>
      <c r="E152" s="14" t="n"/>
      <c r="F152" s="21">
        <f>IF(AND(D152="",E152=""),"",D152*60+E152)</f>
        <v/>
      </c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</row>
    <row r="153">
      <c r="A153" s="14" t="n"/>
      <c r="B153" s="14" t="n"/>
      <c r="C153" s="21">
        <f>IF(B153="","",IFERROR(INDEX(Listas!$B$2:$B$14,MATCH(B153,Listas!$A$2:$A$14,0)),"?"))</f>
        <v/>
      </c>
      <c r="D153" s="14" t="n"/>
      <c r="E153" s="14" t="n"/>
      <c r="F153" s="21">
        <f>IF(AND(D153="",E153=""),"",D153*60+E153)</f>
        <v/>
      </c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</row>
    <row r="154">
      <c r="A154" s="14" t="n"/>
      <c r="B154" s="14" t="n"/>
      <c r="C154" s="21">
        <f>IF(B154="","",IFERROR(INDEX(Listas!$B$2:$B$14,MATCH(B154,Listas!$A$2:$A$14,0)),"?"))</f>
        <v/>
      </c>
      <c r="D154" s="14" t="n"/>
      <c r="E154" s="14" t="n"/>
      <c r="F154" s="21">
        <f>IF(AND(D154="",E154=""),"",D154*60+E154)</f>
        <v/>
      </c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</row>
    <row r="155">
      <c r="A155" s="14" t="n"/>
      <c r="B155" s="14" t="n"/>
      <c r="C155" s="21">
        <f>IF(B155="","",IFERROR(INDEX(Listas!$B$2:$B$14,MATCH(B155,Listas!$A$2:$A$14,0)),"?"))</f>
        <v/>
      </c>
      <c r="D155" s="14" t="n"/>
      <c r="E155" s="14" t="n"/>
      <c r="F155" s="21">
        <f>IF(AND(D155="",E155=""),"",D155*60+E155)</f>
        <v/>
      </c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</row>
    <row r="156">
      <c r="A156" s="14" t="n"/>
      <c r="B156" s="14" t="n"/>
      <c r="C156" s="21">
        <f>IF(B156="","",IFERROR(INDEX(Listas!$B$2:$B$14,MATCH(B156,Listas!$A$2:$A$14,0)),"?"))</f>
        <v/>
      </c>
      <c r="D156" s="14" t="n"/>
      <c r="E156" s="14" t="n"/>
      <c r="F156" s="21">
        <f>IF(AND(D156="",E156=""),"",D156*60+E156)</f>
        <v/>
      </c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</row>
    <row r="157">
      <c r="A157" s="14" t="n"/>
      <c r="B157" s="14" t="n"/>
      <c r="C157" s="21">
        <f>IF(B157="","",IFERROR(INDEX(Listas!$B$2:$B$14,MATCH(B157,Listas!$A$2:$A$14,0)),"?"))</f>
        <v/>
      </c>
      <c r="D157" s="14" t="n"/>
      <c r="E157" s="14" t="n"/>
      <c r="F157" s="21">
        <f>IF(AND(D157="",E157=""),"",D157*60+E157)</f>
        <v/>
      </c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</row>
    <row r="158">
      <c r="A158" s="14" t="n"/>
      <c r="B158" s="14" t="n"/>
      <c r="C158" s="21">
        <f>IF(B158="","",IFERROR(INDEX(Listas!$B$2:$B$14,MATCH(B158,Listas!$A$2:$A$14,0)),"?"))</f>
        <v/>
      </c>
      <c r="D158" s="14" t="n"/>
      <c r="E158" s="14" t="n"/>
      <c r="F158" s="21">
        <f>IF(AND(D158="",E158=""),"",D158*60+E158)</f>
        <v/>
      </c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</row>
    <row r="159">
      <c r="A159" s="14" t="n"/>
      <c r="B159" s="14" t="n"/>
      <c r="C159" s="21">
        <f>IF(B159="","",IFERROR(INDEX(Listas!$B$2:$B$14,MATCH(B159,Listas!$A$2:$A$14,0)),"?"))</f>
        <v/>
      </c>
      <c r="D159" s="14" t="n"/>
      <c r="E159" s="14" t="n"/>
      <c r="F159" s="21">
        <f>IF(AND(D159="",E159=""),"",D159*60+E159)</f>
        <v/>
      </c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</row>
    <row r="160">
      <c r="A160" s="14" t="n"/>
      <c r="B160" s="14" t="n"/>
      <c r="C160" s="21">
        <f>IF(B160="","",IFERROR(INDEX(Listas!$B$2:$B$14,MATCH(B160,Listas!$A$2:$A$14,0)),"?"))</f>
        <v/>
      </c>
      <c r="D160" s="14" t="n"/>
      <c r="E160" s="14" t="n"/>
      <c r="F160" s="21">
        <f>IF(AND(D160="",E160=""),"",D160*60+E160)</f>
        <v/>
      </c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</row>
    <row r="161">
      <c r="A161" s="14" t="n"/>
      <c r="B161" s="14" t="n"/>
      <c r="C161" s="21">
        <f>IF(B161="","",IFERROR(INDEX(Listas!$B$2:$B$14,MATCH(B161,Listas!$A$2:$A$14,0)),"?"))</f>
        <v/>
      </c>
      <c r="D161" s="14" t="n"/>
      <c r="E161" s="14" t="n"/>
      <c r="F161" s="21">
        <f>IF(AND(D161="",E161=""),"",D161*60+E161)</f>
        <v/>
      </c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</row>
    <row r="162">
      <c r="A162" s="14" t="n"/>
      <c r="B162" s="14" t="n"/>
      <c r="C162" s="21">
        <f>IF(B162="","",IFERROR(INDEX(Listas!$B$2:$B$14,MATCH(B162,Listas!$A$2:$A$14,0)),"?"))</f>
        <v/>
      </c>
      <c r="D162" s="14" t="n"/>
      <c r="E162" s="14" t="n"/>
      <c r="F162" s="21">
        <f>IF(AND(D162="",E162=""),"",D162*60+E162)</f>
        <v/>
      </c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</row>
    <row r="163">
      <c r="A163" s="14" t="n"/>
      <c r="B163" s="14" t="n"/>
      <c r="C163" s="21">
        <f>IF(B163="","",IFERROR(INDEX(Listas!$B$2:$B$14,MATCH(B163,Listas!$A$2:$A$14,0)),"?"))</f>
        <v/>
      </c>
      <c r="D163" s="14" t="n"/>
      <c r="E163" s="14" t="n"/>
      <c r="F163" s="21">
        <f>IF(AND(D163="",E163=""),"",D163*60+E163)</f>
        <v/>
      </c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</row>
    <row r="164">
      <c r="A164" s="14" t="n"/>
      <c r="B164" s="14" t="n"/>
      <c r="C164" s="21">
        <f>IF(B164="","",IFERROR(INDEX(Listas!$B$2:$B$14,MATCH(B164,Listas!$A$2:$A$14,0)),"?"))</f>
        <v/>
      </c>
      <c r="D164" s="14" t="n"/>
      <c r="E164" s="14" t="n"/>
      <c r="F164" s="21">
        <f>IF(AND(D164="",E164=""),"",D164*60+E164)</f>
        <v/>
      </c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</row>
    <row r="165">
      <c r="A165" s="14" t="n"/>
      <c r="B165" s="14" t="n"/>
      <c r="C165" s="21">
        <f>IF(B165="","",IFERROR(INDEX(Listas!$B$2:$B$14,MATCH(B165,Listas!$A$2:$A$14,0)),"?"))</f>
        <v/>
      </c>
      <c r="D165" s="14" t="n"/>
      <c r="E165" s="14" t="n"/>
      <c r="F165" s="21">
        <f>IF(AND(D165="",E165=""),"",D165*60+E165)</f>
        <v/>
      </c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</row>
    <row r="166">
      <c r="A166" s="14" t="n"/>
      <c r="B166" s="14" t="n"/>
      <c r="C166" s="21">
        <f>IF(B166="","",IFERROR(INDEX(Listas!$B$2:$B$14,MATCH(B166,Listas!$A$2:$A$14,0)),"?"))</f>
        <v/>
      </c>
      <c r="D166" s="14" t="n"/>
      <c r="E166" s="14" t="n"/>
      <c r="F166" s="21">
        <f>IF(AND(D166="",E166=""),"",D166*60+E166)</f>
        <v/>
      </c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</row>
    <row r="167">
      <c r="A167" s="14" t="n"/>
      <c r="B167" s="14" t="n"/>
      <c r="C167" s="21">
        <f>IF(B167="","",IFERROR(INDEX(Listas!$B$2:$B$14,MATCH(B167,Listas!$A$2:$A$14,0)),"?"))</f>
        <v/>
      </c>
      <c r="D167" s="14" t="n"/>
      <c r="E167" s="14" t="n"/>
      <c r="F167" s="21">
        <f>IF(AND(D167="",E167=""),"",D167*60+E167)</f>
        <v/>
      </c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</row>
    <row r="168">
      <c r="A168" s="14" t="n"/>
      <c r="B168" s="14" t="n"/>
      <c r="C168" s="21">
        <f>IF(B168="","",IFERROR(INDEX(Listas!$B$2:$B$14,MATCH(B168,Listas!$A$2:$A$14,0)),"?"))</f>
        <v/>
      </c>
      <c r="D168" s="14" t="n"/>
      <c r="E168" s="14" t="n"/>
      <c r="F168" s="21">
        <f>IF(AND(D168="",E168=""),"",D168*60+E168)</f>
        <v/>
      </c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</row>
    <row r="169">
      <c r="A169" s="14" t="n"/>
      <c r="B169" s="14" t="n"/>
      <c r="C169" s="21">
        <f>IF(B169="","",IFERROR(INDEX(Listas!$B$2:$B$14,MATCH(B169,Listas!$A$2:$A$14,0)),"?"))</f>
        <v/>
      </c>
      <c r="D169" s="14" t="n"/>
      <c r="E169" s="14" t="n"/>
      <c r="F169" s="21">
        <f>IF(AND(D169="",E169=""),"",D169*60+E169)</f>
        <v/>
      </c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</row>
    <row r="170">
      <c r="A170" s="14" t="n"/>
      <c r="B170" s="14" t="n"/>
      <c r="C170" s="21">
        <f>IF(B170="","",IFERROR(INDEX(Listas!$B$2:$B$14,MATCH(B170,Listas!$A$2:$A$14,0)),"?"))</f>
        <v/>
      </c>
      <c r="D170" s="14" t="n"/>
      <c r="E170" s="14" t="n"/>
      <c r="F170" s="21">
        <f>IF(AND(D170="",E170=""),"",D170*60+E170)</f>
        <v/>
      </c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</row>
    <row r="171">
      <c r="A171" s="14" t="n"/>
      <c r="B171" s="14" t="n"/>
      <c r="C171" s="21">
        <f>IF(B171="","",IFERROR(INDEX(Listas!$B$2:$B$14,MATCH(B171,Listas!$A$2:$A$14,0)),"?"))</f>
        <v/>
      </c>
      <c r="D171" s="14" t="n"/>
      <c r="E171" s="14" t="n"/>
      <c r="F171" s="21">
        <f>IF(AND(D171="",E171=""),"",D171*60+E171)</f>
        <v/>
      </c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</row>
    <row r="172">
      <c r="A172" s="14" t="n"/>
      <c r="B172" s="14" t="n"/>
      <c r="C172" s="21">
        <f>IF(B172="","",IFERROR(INDEX(Listas!$B$2:$B$14,MATCH(B172,Listas!$A$2:$A$14,0)),"?"))</f>
        <v/>
      </c>
      <c r="D172" s="14" t="n"/>
      <c r="E172" s="14" t="n"/>
      <c r="F172" s="21">
        <f>IF(AND(D172="",E172=""),"",D172*60+E172)</f>
        <v/>
      </c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</row>
    <row r="173">
      <c r="A173" s="14" t="n"/>
      <c r="B173" s="14" t="n"/>
      <c r="C173" s="21">
        <f>IF(B173="","",IFERROR(INDEX(Listas!$B$2:$B$14,MATCH(B173,Listas!$A$2:$A$14,0)),"?"))</f>
        <v/>
      </c>
      <c r="D173" s="14" t="n"/>
      <c r="E173" s="14" t="n"/>
      <c r="F173" s="21">
        <f>IF(AND(D173="",E173=""),"",D173*60+E173)</f>
        <v/>
      </c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</row>
    <row r="174">
      <c r="A174" s="14" t="n"/>
      <c r="B174" s="14" t="n"/>
      <c r="C174" s="21">
        <f>IF(B174="","",IFERROR(INDEX(Listas!$B$2:$B$14,MATCH(B174,Listas!$A$2:$A$14,0)),"?"))</f>
        <v/>
      </c>
      <c r="D174" s="14" t="n"/>
      <c r="E174" s="14" t="n"/>
      <c r="F174" s="21">
        <f>IF(AND(D174="",E174=""),"",D174*60+E174)</f>
        <v/>
      </c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</row>
    <row r="175">
      <c r="A175" s="14" t="n"/>
      <c r="B175" s="14" t="n"/>
      <c r="C175" s="21">
        <f>IF(B175="","",IFERROR(INDEX(Listas!$B$2:$B$14,MATCH(B175,Listas!$A$2:$A$14,0)),"?"))</f>
        <v/>
      </c>
      <c r="D175" s="14" t="n"/>
      <c r="E175" s="14" t="n"/>
      <c r="F175" s="21">
        <f>IF(AND(D175="",E175=""),"",D175*60+E175)</f>
        <v/>
      </c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</row>
    <row r="176">
      <c r="A176" s="14" t="n"/>
      <c r="B176" s="14" t="n"/>
      <c r="C176" s="21">
        <f>IF(B176="","",IFERROR(INDEX(Listas!$B$2:$B$14,MATCH(B176,Listas!$A$2:$A$14,0)),"?"))</f>
        <v/>
      </c>
      <c r="D176" s="14" t="n"/>
      <c r="E176" s="14" t="n"/>
      <c r="F176" s="21">
        <f>IF(AND(D176="",E176=""),"",D176*60+E176)</f>
        <v/>
      </c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</row>
    <row r="177">
      <c r="A177" s="14" t="n"/>
      <c r="B177" s="14" t="n"/>
      <c r="C177" s="21">
        <f>IF(B177="","",IFERROR(INDEX(Listas!$B$2:$B$14,MATCH(B177,Listas!$A$2:$A$14,0)),"?"))</f>
        <v/>
      </c>
      <c r="D177" s="14" t="n"/>
      <c r="E177" s="14" t="n"/>
      <c r="F177" s="21">
        <f>IF(AND(D177="",E177=""),"",D177*60+E177)</f>
        <v/>
      </c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</row>
    <row r="178">
      <c r="A178" s="14" t="n"/>
      <c r="B178" s="14" t="n"/>
      <c r="C178" s="21">
        <f>IF(B178="","",IFERROR(INDEX(Listas!$B$2:$B$14,MATCH(B178,Listas!$A$2:$A$14,0)),"?"))</f>
        <v/>
      </c>
      <c r="D178" s="14" t="n"/>
      <c r="E178" s="14" t="n"/>
      <c r="F178" s="21">
        <f>IF(AND(D178="",E178=""),"",D178*60+E178)</f>
        <v/>
      </c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</row>
    <row r="179">
      <c r="A179" s="14" t="n"/>
      <c r="B179" s="14" t="n"/>
      <c r="C179" s="21">
        <f>IF(B179="","",IFERROR(INDEX(Listas!$B$2:$B$14,MATCH(B179,Listas!$A$2:$A$14,0)),"?"))</f>
        <v/>
      </c>
      <c r="D179" s="14" t="n"/>
      <c r="E179" s="14" t="n"/>
      <c r="F179" s="21">
        <f>IF(AND(D179="",E179=""),"",D179*60+E179)</f>
        <v/>
      </c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</row>
    <row r="180">
      <c r="A180" s="14" t="n"/>
      <c r="B180" s="14" t="n"/>
      <c r="C180" s="21">
        <f>IF(B180="","",IFERROR(INDEX(Listas!$B$2:$B$14,MATCH(B180,Listas!$A$2:$A$14,0)),"?"))</f>
        <v/>
      </c>
      <c r="D180" s="14" t="n"/>
      <c r="E180" s="14" t="n"/>
      <c r="F180" s="21">
        <f>IF(AND(D180="",E180=""),"",D180*60+E180)</f>
        <v/>
      </c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</row>
    <row r="181">
      <c r="A181" s="14" t="n"/>
      <c r="B181" s="14" t="n"/>
      <c r="C181" s="21">
        <f>IF(B181="","",IFERROR(INDEX(Listas!$B$2:$B$14,MATCH(B181,Listas!$A$2:$A$14,0)),"?"))</f>
        <v/>
      </c>
      <c r="D181" s="14" t="n"/>
      <c r="E181" s="14" t="n"/>
      <c r="F181" s="21">
        <f>IF(AND(D181="",E181=""),"",D181*60+E181)</f>
        <v/>
      </c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</row>
    <row r="182">
      <c r="A182" s="14" t="n"/>
      <c r="B182" s="14" t="n"/>
      <c r="C182" s="21">
        <f>IF(B182="","",IFERROR(INDEX(Listas!$B$2:$B$14,MATCH(B182,Listas!$A$2:$A$14,0)),"?"))</f>
        <v/>
      </c>
      <c r="D182" s="14" t="n"/>
      <c r="E182" s="14" t="n"/>
      <c r="F182" s="21">
        <f>IF(AND(D182="",E182=""),"",D182*60+E182)</f>
        <v/>
      </c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</row>
    <row r="183">
      <c r="A183" s="14" t="n"/>
      <c r="B183" s="14" t="n"/>
      <c r="C183" s="21">
        <f>IF(B183="","",IFERROR(INDEX(Listas!$B$2:$B$14,MATCH(B183,Listas!$A$2:$A$14,0)),"?"))</f>
        <v/>
      </c>
      <c r="D183" s="14" t="n"/>
      <c r="E183" s="14" t="n"/>
      <c r="F183" s="21">
        <f>IF(AND(D183="",E183=""),"",D183*60+E183)</f>
        <v/>
      </c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</row>
    <row r="184">
      <c r="A184" s="14" t="n"/>
      <c r="B184" s="14" t="n"/>
      <c r="C184" s="21">
        <f>IF(B184="","",IFERROR(INDEX(Listas!$B$2:$B$14,MATCH(B184,Listas!$A$2:$A$14,0)),"?"))</f>
        <v/>
      </c>
      <c r="D184" s="14" t="n"/>
      <c r="E184" s="14" t="n"/>
      <c r="F184" s="21">
        <f>IF(AND(D184="",E184=""),"",D184*60+E184)</f>
        <v/>
      </c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</row>
    <row r="185">
      <c r="A185" s="14" t="n"/>
      <c r="B185" s="14" t="n"/>
      <c r="C185" s="21">
        <f>IF(B185="","",IFERROR(INDEX(Listas!$B$2:$B$14,MATCH(B185,Listas!$A$2:$A$14,0)),"?"))</f>
        <v/>
      </c>
      <c r="D185" s="14" t="n"/>
      <c r="E185" s="14" t="n"/>
      <c r="F185" s="21">
        <f>IF(AND(D185="",E185=""),"",D185*60+E185)</f>
        <v/>
      </c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</row>
    <row r="186">
      <c r="A186" s="14" t="n"/>
      <c r="B186" s="14" t="n"/>
      <c r="C186" s="21">
        <f>IF(B186="","",IFERROR(INDEX(Listas!$B$2:$B$14,MATCH(B186,Listas!$A$2:$A$14,0)),"?"))</f>
        <v/>
      </c>
      <c r="D186" s="14" t="n"/>
      <c r="E186" s="14" t="n"/>
      <c r="F186" s="21">
        <f>IF(AND(D186="",E186=""),"",D186*60+E186)</f>
        <v/>
      </c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</row>
    <row r="187">
      <c r="A187" s="14" t="n"/>
      <c r="B187" s="14" t="n"/>
      <c r="C187" s="21">
        <f>IF(B187="","",IFERROR(INDEX(Listas!$B$2:$B$14,MATCH(B187,Listas!$A$2:$A$14,0)),"?"))</f>
        <v/>
      </c>
      <c r="D187" s="14" t="n"/>
      <c r="E187" s="14" t="n"/>
      <c r="F187" s="21">
        <f>IF(AND(D187="",E187=""),"",D187*60+E187)</f>
        <v/>
      </c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</row>
    <row r="188">
      <c r="A188" s="14" t="n"/>
      <c r="B188" s="14" t="n"/>
      <c r="C188" s="21">
        <f>IF(B188="","",IFERROR(INDEX(Listas!$B$2:$B$14,MATCH(B188,Listas!$A$2:$A$14,0)),"?"))</f>
        <v/>
      </c>
      <c r="D188" s="14" t="n"/>
      <c r="E188" s="14" t="n"/>
      <c r="F188" s="21">
        <f>IF(AND(D188="",E188=""),"",D188*60+E188)</f>
        <v/>
      </c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</row>
    <row r="189">
      <c r="A189" s="14" t="n"/>
      <c r="B189" s="14" t="n"/>
      <c r="C189" s="21">
        <f>IF(B189="","",IFERROR(INDEX(Listas!$B$2:$B$14,MATCH(B189,Listas!$A$2:$A$14,0)),"?"))</f>
        <v/>
      </c>
      <c r="D189" s="14" t="n"/>
      <c r="E189" s="14" t="n"/>
      <c r="F189" s="21">
        <f>IF(AND(D189="",E189=""),"",D189*60+E189)</f>
        <v/>
      </c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</row>
    <row r="190">
      <c r="A190" s="14" t="n"/>
      <c r="B190" s="14" t="n"/>
      <c r="C190" s="21">
        <f>IF(B190="","",IFERROR(INDEX(Listas!$B$2:$B$14,MATCH(B190,Listas!$A$2:$A$14,0)),"?"))</f>
        <v/>
      </c>
      <c r="D190" s="14" t="n"/>
      <c r="E190" s="14" t="n"/>
      <c r="F190" s="21">
        <f>IF(AND(D190="",E190=""),"",D190*60+E190)</f>
        <v/>
      </c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</row>
    <row r="191">
      <c r="A191" s="14" t="n"/>
      <c r="B191" s="14" t="n"/>
      <c r="C191" s="21">
        <f>IF(B191="","",IFERROR(INDEX(Listas!$B$2:$B$14,MATCH(B191,Listas!$A$2:$A$14,0)),"?"))</f>
        <v/>
      </c>
      <c r="D191" s="14" t="n"/>
      <c r="E191" s="14" t="n"/>
      <c r="F191" s="21">
        <f>IF(AND(D191="",E191=""),"",D191*60+E191)</f>
        <v/>
      </c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</row>
    <row r="192">
      <c r="A192" s="14" t="n"/>
      <c r="B192" s="14" t="n"/>
      <c r="C192" s="21">
        <f>IF(B192="","",IFERROR(INDEX(Listas!$B$2:$B$14,MATCH(B192,Listas!$A$2:$A$14,0)),"?"))</f>
        <v/>
      </c>
      <c r="D192" s="14" t="n"/>
      <c r="E192" s="14" t="n"/>
      <c r="F192" s="21">
        <f>IF(AND(D192="",E192=""),"",D192*60+E192)</f>
        <v/>
      </c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</row>
    <row r="193">
      <c r="A193" s="14" t="n"/>
      <c r="B193" s="14" t="n"/>
      <c r="C193" s="21">
        <f>IF(B193="","",IFERROR(INDEX(Listas!$B$2:$B$14,MATCH(B193,Listas!$A$2:$A$14,0)),"?"))</f>
        <v/>
      </c>
      <c r="D193" s="14" t="n"/>
      <c r="E193" s="14" t="n"/>
      <c r="F193" s="21">
        <f>IF(AND(D193="",E193=""),"",D193*60+E193)</f>
        <v/>
      </c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</row>
    <row r="194">
      <c r="A194" s="14" t="n"/>
      <c r="B194" s="14" t="n"/>
      <c r="C194" s="21">
        <f>IF(B194="","",IFERROR(INDEX(Listas!$B$2:$B$14,MATCH(B194,Listas!$A$2:$A$14,0)),"?"))</f>
        <v/>
      </c>
      <c r="D194" s="14" t="n"/>
      <c r="E194" s="14" t="n"/>
      <c r="F194" s="21">
        <f>IF(AND(D194="",E194=""),"",D194*60+E194)</f>
        <v/>
      </c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</row>
    <row r="195">
      <c r="A195" s="14" t="n"/>
      <c r="B195" s="14" t="n"/>
      <c r="C195" s="21">
        <f>IF(B195="","",IFERROR(INDEX(Listas!$B$2:$B$14,MATCH(B195,Listas!$A$2:$A$14,0)),"?"))</f>
        <v/>
      </c>
      <c r="D195" s="14" t="n"/>
      <c r="E195" s="14" t="n"/>
      <c r="F195" s="21">
        <f>IF(AND(D195="",E195=""),"",D195*60+E195)</f>
        <v/>
      </c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</row>
    <row r="196">
      <c r="A196" s="14" t="n"/>
      <c r="B196" s="14" t="n"/>
      <c r="C196" s="21">
        <f>IF(B196="","",IFERROR(INDEX(Listas!$B$2:$B$14,MATCH(B196,Listas!$A$2:$A$14,0)),"?"))</f>
        <v/>
      </c>
      <c r="D196" s="14" t="n"/>
      <c r="E196" s="14" t="n"/>
      <c r="F196" s="21">
        <f>IF(AND(D196="",E196=""),"",D196*60+E196)</f>
        <v/>
      </c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</row>
    <row r="197">
      <c r="A197" s="14" t="n"/>
      <c r="B197" s="14" t="n"/>
      <c r="C197" s="21">
        <f>IF(B197="","",IFERROR(INDEX(Listas!$B$2:$B$14,MATCH(B197,Listas!$A$2:$A$14,0)),"?"))</f>
        <v/>
      </c>
      <c r="D197" s="14" t="n"/>
      <c r="E197" s="14" t="n"/>
      <c r="F197" s="21">
        <f>IF(AND(D197="",E197=""),"",D197*60+E197)</f>
        <v/>
      </c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</row>
    <row r="198">
      <c r="A198" s="14" t="n"/>
      <c r="B198" s="14" t="n"/>
      <c r="C198" s="21">
        <f>IF(B198="","",IFERROR(INDEX(Listas!$B$2:$B$14,MATCH(B198,Listas!$A$2:$A$14,0)),"?"))</f>
        <v/>
      </c>
      <c r="D198" s="14" t="n"/>
      <c r="E198" s="14" t="n"/>
      <c r="F198" s="21">
        <f>IF(AND(D198="",E198=""),"",D198*60+E198)</f>
        <v/>
      </c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</row>
    <row r="199">
      <c r="A199" s="14" t="n"/>
      <c r="B199" s="14" t="n"/>
      <c r="C199" s="21">
        <f>IF(B199="","",IFERROR(INDEX(Listas!$B$2:$B$14,MATCH(B199,Listas!$A$2:$A$14,0)),"?"))</f>
        <v/>
      </c>
      <c r="D199" s="14" t="n"/>
      <c r="E199" s="14" t="n"/>
      <c r="F199" s="21">
        <f>IF(AND(D199="",E199=""),"",D199*60+E199)</f>
        <v/>
      </c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</row>
    <row r="200">
      <c r="A200" s="14" t="n"/>
      <c r="B200" s="14" t="n"/>
      <c r="C200" s="21">
        <f>IF(B200="","",IFERROR(INDEX(Listas!$B$2:$B$14,MATCH(B200,Listas!$A$2:$A$14,0)),"?"))</f>
        <v/>
      </c>
      <c r="D200" s="14" t="n"/>
      <c r="E200" s="14" t="n"/>
      <c r="F200" s="21">
        <f>IF(AND(D200="",E200=""),"",D200*60+E200)</f>
        <v/>
      </c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</row>
    <row r="201">
      <c r="A201" s="14" t="n"/>
      <c r="B201" s="14" t="n"/>
      <c r="C201" s="21">
        <f>IF(B201="","",IFERROR(INDEX(Listas!$B$2:$B$14,MATCH(B201,Listas!$A$2:$A$14,0)),"?"))</f>
        <v/>
      </c>
      <c r="D201" s="14" t="n"/>
      <c r="E201" s="14" t="n"/>
      <c r="F201" s="21">
        <f>IF(AND(D201="",E201=""),"",D201*60+E201)</f>
        <v/>
      </c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</row>
    <row r="202">
      <c r="A202" s="14" t="n"/>
      <c r="B202" s="14" t="n"/>
      <c r="C202" s="21">
        <f>IF(B202="","",IFERROR(INDEX(Listas!$B$2:$B$14,MATCH(B202,Listas!$A$2:$A$14,0)),"?"))</f>
        <v/>
      </c>
      <c r="D202" s="14" t="n"/>
      <c r="E202" s="14" t="n"/>
      <c r="F202" s="21">
        <f>IF(AND(D202="",E202=""),"",D202*60+E202)</f>
        <v/>
      </c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</row>
    <row r="203">
      <c r="A203" s="14" t="n"/>
      <c r="B203" s="14" t="n"/>
      <c r="C203" s="21">
        <f>IF(B203="","",IFERROR(INDEX(Listas!$B$2:$B$14,MATCH(B203,Listas!$A$2:$A$14,0)),"?"))</f>
        <v/>
      </c>
      <c r="D203" s="14" t="n"/>
      <c r="E203" s="14" t="n"/>
      <c r="F203" s="21">
        <f>IF(AND(D203="",E203=""),"",D203*60+E203)</f>
        <v/>
      </c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</row>
    <row r="204">
      <c r="A204" s="14" t="n"/>
      <c r="B204" s="14" t="n"/>
      <c r="C204" s="21">
        <f>IF(B204="","",IFERROR(INDEX(Listas!$B$2:$B$14,MATCH(B204,Listas!$A$2:$A$14,0)),"?"))</f>
        <v/>
      </c>
      <c r="D204" s="14" t="n"/>
      <c r="E204" s="14" t="n"/>
      <c r="F204" s="21">
        <f>IF(AND(D204="",E204=""),"",D204*60+E204)</f>
        <v/>
      </c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</row>
    <row r="205">
      <c r="A205" s="14" t="n"/>
      <c r="B205" s="14" t="n"/>
      <c r="C205" s="21">
        <f>IF(B205="","",IFERROR(INDEX(Listas!$B$2:$B$14,MATCH(B205,Listas!$A$2:$A$14,0)),"?"))</f>
        <v/>
      </c>
      <c r="D205" s="14" t="n"/>
      <c r="E205" s="14" t="n"/>
      <c r="F205" s="21">
        <f>IF(AND(D205="",E205=""),"",D205*60+E205)</f>
        <v/>
      </c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</row>
    <row r="206">
      <c r="A206" s="14" t="n"/>
      <c r="B206" s="14" t="n"/>
      <c r="C206" s="21">
        <f>IF(B206="","",IFERROR(INDEX(Listas!$B$2:$B$14,MATCH(B206,Listas!$A$2:$A$14,0)),"?"))</f>
        <v/>
      </c>
      <c r="D206" s="14" t="n"/>
      <c r="E206" s="14" t="n"/>
      <c r="F206" s="21">
        <f>IF(AND(D206="",E206=""),"",D206*60+E206)</f>
        <v/>
      </c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</row>
    <row r="207">
      <c r="A207" s="14" t="n"/>
      <c r="B207" s="14" t="n"/>
      <c r="C207" s="21">
        <f>IF(B207="","",IFERROR(INDEX(Listas!$B$2:$B$14,MATCH(B207,Listas!$A$2:$A$14,0)),"?"))</f>
        <v/>
      </c>
      <c r="D207" s="14" t="n"/>
      <c r="E207" s="14" t="n"/>
      <c r="F207" s="21">
        <f>IF(AND(D207="",E207=""),"",D207*60+E207)</f>
        <v/>
      </c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</row>
    <row r="208">
      <c r="A208" s="14" t="n"/>
      <c r="B208" s="14" t="n"/>
      <c r="C208" s="21">
        <f>IF(B208="","",IFERROR(INDEX(Listas!$B$2:$B$14,MATCH(B208,Listas!$A$2:$A$14,0)),"?"))</f>
        <v/>
      </c>
      <c r="D208" s="14" t="n"/>
      <c r="E208" s="14" t="n"/>
      <c r="F208" s="21">
        <f>IF(AND(D208="",E208=""),"",D208*60+E208)</f>
        <v/>
      </c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</row>
    <row r="209">
      <c r="A209" s="14" t="n"/>
      <c r="B209" s="14" t="n"/>
      <c r="C209" s="21">
        <f>IF(B209="","",IFERROR(INDEX(Listas!$B$2:$B$14,MATCH(B209,Listas!$A$2:$A$14,0)),"?"))</f>
        <v/>
      </c>
      <c r="D209" s="14" t="n"/>
      <c r="E209" s="14" t="n"/>
      <c r="F209" s="21">
        <f>IF(AND(D209="",E209=""),"",D209*60+E209)</f>
        <v/>
      </c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</row>
    <row r="210">
      <c r="A210" s="14" t="n"/>
      <c r="B210" s="14" t="n"/>
      <c r="C210" s="21">
        <f>IF(B210="","",IFERROR(INDEX(Listas!$B$2:$B$14,MATCH(B210,Listas!$A$2:$A$14,0)),"?"))</f>
        <v/>
      </c>
      <c r="D210" s="14" t="n"/>
      <c r="E210" s="14" t="n"/>
      <c r="F210" s="21">
        <f>IF(AND(D210="",E210=""),"",D210*60+E210)</f>
        <v/>
      </c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</row>
    <row r="211">
      <c r="A211" s="14" t="n"/>
      <c r="B211" s="14" t="n"/>
      <c r="C211" s="21">
        <f>IF(B211="","",IFERROR(INDEX(Listas!$B$2:$B$14,MATCH(B211,Listas!$A$2:$A$14,0)),"?"))</f>
        <v/>
      </c>
      <c r="D211" s="14" t="n"/>
      <c r="E211" s="14" t="n"/>
      <c r="F211" s="21">
        <f>IF(AND(D211="",E211=""),"",D211*60+E211)</f>
        <v/>
      </c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</row>
    <row r="212">
      <c r="A212" s="14" t="n"/>
      <c r="B212" s="14" t="n"/>
      <c r="C212" s="21">
        <f>IF(B212="","",IFERROR(INDEX(Listas!$B$2:$B$14,MATCH(B212,Listas!$A$2:$A$14,0)),"?"))</f>
        <v/>
      </c>
      <c r="D212" s="14" t="n"/>
      <c r="E212" s="14" t="n"/>
      <c r="F212" s="21">
        <f>IF(AND(D212="",E212=""),"",D212*60+E212)</f>
        <v/>
      </c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</row>
    <row r="213">
      <c r="A213" s="14" t="n"/>
      <c r="B213" s="14" t="n"/>
      <c r="C213" s="21">
        <f>IF(B213="","",IFERROR(INDEX(Listas!$B$2:$B$14,MATCH(B213,Listas!$A$2:$A$14,0)),"?"))</f>
        <v/>
      </c>
      <c r="D213" s="14" t="n"/>
      <c r="E213" s="14" t="n"/>
      <c r="F213" s="21">
        <f>IF(AND(D213="",E213=""),"",D213*60+E213)</f>
        <v/>
      </c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</row>
    <row r="214">
      <c r="A214" s="14" t="n"/>
      <c r="B214" s="14" t="n"/>
      <c r="C214" s="21">
        <f>IF(B214="","",IFERROR(INDEX(Listas!$B$2:$B$14,MATCH(B214,Listas!$A$2:$A$14,0)),"?"))</f>
        <v/>
      </c>
      <c r="D214" s="14" t="n"/>
      <c r="E214" s="14" t="n"/>
      <c r="F214" s="21">
        <f>IF(AND(D214="",E214=""),"",D214*60+E214)</f>
        <v/>
      </c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</row>
    <row r="215">
      <c r="A215" s="14" t="n"/>
      <c r="B215" s="14" t="n"/>
      <c r="C215" s="21">
        <f>IF(B215="","",IFERROR(INDEX(Listas!$B$2:$B$14,MATCH(B215,Listas!$A$2:$A$14,0)),"?"))</f>
        <v/>
      </c>
      <c r="D215" s="14" t="n"/>
      <c r="E215" s="14" t="n"/>
      <c r="F215" s="21">
        <f>IF(AND(D215="",E215=""),"",D215*60+E215)</f>
        <v/>
      </c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</row>
    <row r="216">
      <c r="A216" s="14" t="n"/>
      <c r="B216" s="14" t="n"/>
      <c r="C216" s="21">
        <f>IF(B216="","",IFERROR(INDEX(Listas!$B$2:$B$14,MATCH(B216,Listas!$A$2:$A$14,0)),"?"))</f>
        <v/>
      </c>
      <c r="D216" s="14" t="n"/>
      <c r="E216" s="14" t="n"/>
      <c r="F216" s="21">
        <f>IF(AND(D216="",E216=""),"",D216*60+E216)</f>
        <v/>
      </c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</row>
    <row r="217">
      <c r="A217" s="14" t="n"/>
      <c r="B217" s="14" t="n"/>
      <c r="C217" s="21">
        <f>IF(B217="","",IFERROR(INDEX(Listas!$B$2:$B$14,MATCH(B217,Listas!$A$2:$A$14,0)),"?"))</f>
        <v/>
      </c>
      <c r="D217" s="14" t="n"/>
      <c r="E217" s="14" t="n"/>
      <c r="F217" s="21">
        <f>IF(AND(D217="",E217=""),"",D217*60+E217)</f>
        <v/>
      </c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</row>
    <row r="218">
      <c r="A218" s="14" t="n"/>
      <c r="B218" s="14" t="n"/>
      <c r="C218" s="21">
        <f>IF(B218="","",IFERROR(INDEX(Listas!$B$2:$B$14,MATCH(B218,Listas!$A$2:$A$14,0)),"?"))</f>
        <v/>
      </c>
      <c r="D218" s="14" t="n"/>
      <c r="E218" s="14" t="n"/>
      <c r="F218" s="21">
        <f>IF(AND(D218="",E218=""),"",D218*60+E218)</f>
        <v/>
      </c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</row>
    <row r="219">
      <c r="A219" s="14" t="n"/>
      <c r="B219" s="14" t="n"/>
      <c r="C219" s="21">
        <f>IF(B219="","",IFERROR(INDEX(Listas!$B$2:$B$14,MATCH(B219,Listas!$A$2:$A$14,0)),"?"))</f>
        <v/>
      </c>
      <c r="D219" s="14" t="n"/>
      <c r="E219" s="14" t="n"/>
      <c r="F219" s="21">
        <f>IF(AND(D219="",E219=""),"",D219*60+E219)</f>
        <v/>
      </c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</row>
    <row r="220">
      <c r="A220" s="14" t="n"/>
      <c r="B220" s="14" t="n"/>
      <c r="C220" s="21">
        <f>IF(B220="","",IFERROR(INDEX(Listas!$B$2:$B$14,MATCH(B220,Listas!$A$2:$A$14,0)),"?"))</f>
        <v/>
      </c>
      <c r="D220" s="14" t="n"/>
      <c r="E220" s="14" t="n"/>
      <c r="F220" s="21">
        <f>IF(AND(D220="",E220=""),"",D220*60+E220)</f>
        <v/>
      </c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</row>
    <row r="221">
      <c r="A221" s="14" t="n"/>
      <c r="B221" s="14" t="n"/>
      <c r="C221" s="21">
        <f>IF(B221="","",IFERROR(INDEX(Listas!$B$2:$B$14,MATCH(B221,Listas!$A$2:$A$14,0)),"?"))</f>
        <v/>
      </c>
      <c r="D221" s="14" t="n"/>
      <c r="E221" s="14" t="n"/>
      <c r="F221" s="21">
        <f>IF(AND(D221="",E221=""),"",D221*60+E221)</f>
        <v/>
      </c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</row>
    <row r="222">
      <c r="A222" s="14" t="n"/>
      <c r="B222" s="14" t="n"/>
      <c r="C222" s="21">
        <f>IF(B222="","",IFERROR(INDEX(Listas!$B$2:$B$14,MATCH(B222,Listas!$A$2:$A$14,0)),"?"))</f>
        <v/>
      </c>
      <c r="D222" s="14" t="n"/>
      <c r="E222" s="14" t="n"/>
      <c r="F222" s="21">
        <f>IF(AND(D222="",E222=""),"",D222*60+E222)</f>
        <v/>
      </c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</row>
    <row r="223">
      <c r="A223" s="14" t="n"/>
      <c r="B223" s="14" t="n"/>
      <c r="C223" s="21">
        <f>IF(B223="","",IFERROR(INDEX(Listas!$B$2:$B$14,MATCH(B223,Listas!$A$2:$A$14,0)),"?"))</f>
        <v/>
      </c>
      <c r="D223" s="14" t="n"/>
      <c r="E223" s="14" t="n"/>
      <c r="F223" s="21">
        <f>IF(AND(D223="",E223=""),"",D223*60+E223)</f>
        <v/>
      </c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</row>
    <row r="224">
      <c r="A224" s="14" t="n"/>
      <c r="B224" s="14" t="n"/>
      <c r="C224" s="21">
        <f>IF(B224="","",IFERROR(INDEX(Listas!$B$2:$B$14,MATCH(B224,Listas!$A$2:$A$14,0)),"?"))</f>
        <v/>
      </c>
      <c r="D224" s="14" t="n"/>
      <c r="E224" s="14" t="n"/>
      <c r="F224" s="21">
        <f>IF(AND(D224="",E224=""),"",D224*60+E224)</f>
        <v/>
      </c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</row>
    <row r="225">
      <c r="A225" s="14" t="n"/>
      <c r="B225" s="14" t="n"/>
      <c r="C225" s="21">
        <f>IF(B225="","",IFERROR(INDEX(Listas!$B$2:$B$14,MATCH(B225,Listas!$A$2:$A$14,0)),"?"))</f>
        <v/>
      </c>
      <c r="D225" s="14" t="n"/>
      <c r="E225" s="14" t="n"/>
      <c r="F225" s="21">
        <f>IF(AND(D225="",E225=""),"",D225*60+E225)</f>
        <v/>
      </c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</row>
    <row r="226">
      <c r="A226" s="14" t="n"/>
      <c r="B226" s="14" t="n"/>
      <c r="C226" s="21">
        <f>IF(B226="","",IFERROR(INDEX(Listas!$B$2:$B$14,MATCH(B226,Listas!$A$2:$A$14,0)),"?"))</f>
        <v/>
      </c>
      <c r="D226" s="14" t="n"/>
      <c r="E226" s="14" t="n"/>
      <c r="F226" s="21">
        <f>IF(AND(D226="",E226=""),"",D226*60+E226)</f>
        <v/>
      </c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</row>
    <row r="227">
      <c r="A227" s="14" t="n"/>
      <c r="B227" s="14" t="n"/>
      <c r="C227" s="21">
        <f>IF(B227="","",IFERROR(INDEX(Listas!$B$2:$B$14,MATCH(B227,Listas!$A$2:$A$14,0)),"?"))</f>
        <v/>
      </c>
      <c r="D227" s="14" t="n"/>
      <c r="E227" s="14" t="n"/>
      <c r="F227" s="21">
        <f>IF(AND(D227="",E227=""),"",D227*60+E227)</f>
        <v/>
      </c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</row>
    <row r="228">
      <c r="A228" s="14" t="n"/>
      <c r="B228" s="14" t="n"/>
      <c r="C228" s="21">
        <f>IF(B228="","",IFERROR(INDEX(Listas!$B$2:$B$14,MATCH(B228,Listas!$A$2:$A$14,0)),"?"))</f>
        <v/>
      </c>
      <c r="D228" s="14" t="n"/>
      <c r="E228" s="14" t="n"/>
      <c r="F228" s="21">
        <f>IF(AND(D228="",E228=""),"",D228*60+E228)</f>
        <v/>
      </c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</row>
    <row r="229">
      <c r="A229" s="14" t="n"/>
      <c r="B229" s="14" t="n"/>
      <c r="C229" s="21">
        <f>IF(B229="","",IFERROR(INDEX(Listas!$B$2:$B$14,MATCH(B229,Listas!$A$2:$A$14,0)),"?"))</f>
        <v/>
      </c>
      <c r="D229" s="14" t="n"/>
      <c r="E229" s="14" t="n"/>
      <c r="F229" s="21">
        <f>IF(AND(D229="",E229=""),"",D229*60+E229)</f>
        <v/>
      </c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</row>
    <row r="230">
      <c r="A230" s="14" t="n"/>
      <c r="B230" s="14" t="n"/>
      <c r="C230" s="21">
        <f>IF(B230="","",IFERROR(INDEX(Listas!$B$2:$B$14,MATCH(B230,Listas!$A$2:$A$14,0)),"?"))</f>
        <v/>
      </c>
      <c r="D230" s="14" t="n"/>
      <c r="E230" s="14" t="n"/>
      <c r="F230" s="21">
        <f>IF(AND(D230="",E230=""),"",D230*60+E230)</f>
        <v/>
      </c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</row>
    <row r="231">
      <c r="A231" s="14" t="n"/>
      <c r="B231" s="14" t="n"/>
      <c r="C231" s="21">
        <f>IF(B231="","",IFERROR(INDEX(Listas!$B$2:$B$14,MATCH(B231,Listas!$A$2:$A$14,0)),"?"))</f>
        <v/>
      </c>
      <c r="D231" s="14" t="n"/>
      <c r="E231" s="14" t="n"/>
      <c r="F231" s="21">
        <f>IF(AND(D231="",E231=""),"",D231*60+E231)</f>
        <v/>
      </c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</row>
    <row r="232">
      <c r="A232" s="14" t="n"/>
      <c r="B232" s="14" t="n"/>
      <c r="C232" s="21">
        <f>IF(B232="","",IFERROR(INDEX(Listas!$B$2:$B$14,MATCH(B232,Listas!$A$2:$A$14,0)),"?"))</f>
        <v/>
      </c>
      <c r="D232" s="14" t="n"/>
      <c r="E232" s="14" t="n"/>
      <c r="F232" s="21">
        <f>IF(AND(D232="",E232=""),"",D232*60+E232)</f>
        <v/>
      </c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</row>
    <row r="233">
      <c r="A233" s="14" t="n"/>
      <c r="B233" s="14" t="n"/>
      <c r="C233" s="21">
        <f>IF(B233="","",IFERROR(INDEX(Listas!$B$2:$B$14,MATCH(B233,Listas!$A$2:$A$14,0)),"?"))</f>
        <v/>
      </c>
      <c r="D233" s="14" t="n"/>
      <c r="E233" s="14" t="n"/>
      <c r="F233" s="21">
        <f>IF(AND(D233="",E233=""),"",D233*60+E233)</f>
        <v/>
      </c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</row>
    <row r="234">
      <c r="A234" s="14" t="n"/>
      <c r="B234" s="14" t="n"/>
      <c r="C234" s="21">
        <f>IF(B234="","",IFERROR(INDEX(Listas!$B$2:$B$14,MATCH(B234,Listas!$A$2:$A$14,0)),"?"))</f>
        <v/>
      </c>
      <c r="D234" s="14" t="n"/>
      <c r="E234" s="14" t="n"/>
      <c r="F234" s="21">
        <f>IF(AND(D234="",E234=""),"",D234*60+E234)</f>
        <v/>
      </c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</row>
    <row r="235">
      <c r="A235" s="14" t="n"/>
      <c r="B235" s="14" t="n"/>
      <c r="C235" s="21">
        <f>IF(B235="","",IFERROR(INDEX(Listas!$B$2:$B$14,MATCH(B235,Listas!$A$2:$A$14,0)),"?"))</f>
        <v/>
      </c>
      <c r="D235" s="14" t="n"/>
      <c r="E235" s="14" t="n"/>
      <c r="F235" s="21">
        <f>IF(AND(D235="",E235=""),"",D235*60+E235)</f>
        <v/>
      </c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</row>
    <row r="236">
      <c r="A236" s="14" t="n"/>
      <c r="B236" s="14" t="n"/>
      <c r="C236" s="21">
        <f>IF(B236="","",IFERROR(INDEX(Listas!$B$2:$B$14,MATCH(B236,Listas!$A$2:$A$14,0)),"?"))</f>
        <v/>
      </c>
      <c r="D236" s="14" t="n"/>
      <c r="E236" s="14" t="n"/>
      <c r="F236" s="21">
        <f>IF(AND(D236="",E236=""),"",D236*60+E236)</f>
        <v/>
      </c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</row>
    <row r="237">
      <c r="A237" s="14" t="n"/>
      <c r="B237" s="14" t="n"/>
      <c r="C237" s="21">
        <f>IF(B237="","",IFERROR(INDEX(Listas!$B$2:$B$14,MATCH(B237,Listas!$A$2:$A$14,0)),"?"))</f>
        <v/>
      </c>
      <c r="D237" s="14" t="n"/>
      <c r="E237" s="14" t="n"/>
      <c r="F237" s="21">
        <f>IF(AND(D237="",E237=""),"",D237*60+E237)</f>
        <v/>
      </c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</row>
    <row r="238">
      <c r="A238" s="14" t="n"/>
      <c r="B238" s="14" t="n"/>
      <c r="C238" s="21">
        <f>IF(B238="","",IFERROR(INDEX(Listas!$B$2:$B$14,MATCH(B238,Listas!$A$2:$A$14,0)),"?"))</f>
        <v/>
      </c>
      <c r="D238" s="14" t="n"/>
      <c r="E238" s="14" t="n"/>
      <c r="F238" s="21">
        <f>IF(AND(D238="",E238=""),"",D238*60+E238)</f>
        <v/>
      </c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</row>
    <row r="239">
      <c r="A239" s="14" t="n"/>
      <c r="B239" s="14" t="n"/>
      <c r="C239" s="21">
        <f>IF(B239="","",IFERROR(INDEX(Listas!$B$2:$B$14,MATCH(B239,Listas!$A$2:$A$14,0)),"?"))</f>
        <v/>
      </c>
      <c r="D239" s="14" t="n"/>
      <c r="E239" s="14" t="n"/>
      <c r="F239" s="21">
        <f>IF(AND(D239="",E239=""),"",D239*60+E239)</f>
        <v/>
      </c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</row>
    <row r="240">
      <c r="A240" s="14" t="n"/>
      <c r="B240" s="14" t="n"/>
      <c r="C240" s="21">
        <f>IF(B240="","",IFERROR(INDEX(Listas!$B$2:$B$14,MATCH(B240,Listas!$A$2:$A$14,0)),"?"))</f>
        <v/>
      </c>
      <c r="D240" s="14" t="n"/>
      <c r="E240" s="14" t="n"/>
      <c r="F240" s="21">
        <f>IF(AND(D240="",E240=""),"",D240*60+E240)</f>
        <v/>
      </c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</row>
    <row r="241">
      <c r="A241" s="14" t="n"/>
      <c r="B241" s="14" t="n"/>
      <c r="C241" s="21">
        <f>IF(B241="","",IFERROR(INDEX(Listas!$B$2:$B$14,MATCH(B241,Listas!$A$2:$A$14,0)),"?"))</f>
        <v/>
      </c>
      <c r="D241" s="14" t="n"/>
      <c r="E241" s="14" t="n"/>
      <c r="F241" s="21">
        <f>IF(AND(D241="",E241=""),"",D241*60+E241)</f>
        <v/>
      </c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</row>
    <row r="242">
      <c r="A242" s="14" t="n"/>
      <c r="B242" s="14" t="n"/>
      <c r="C242" s="21">
        <f>IF(B242="","",IFERROR(INDEX(Listas!$B$2:$B$14,MATCH(B242,Listas!$A$2:$A$14,0)),"?"))</f>
        <v/>
      </c>
      <c r="D242" s="14" t="n"/>
      <c r="E242" s="14" t="n"/>
      <c r="F242" s="21">
        <f>IF(AND(D242="",E242=""),"",D242*60+E242)</f>
        <v/>
      </c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</row>
    <row r="243">
      <c r="A243" s="14" t="n"/>
      <c r="B243" s="14" t="n"/>
      <c r="C243" s="21">
        <f>IF(B243="","",IFERROR(INDEX(Listas!$B$2:$B$14,MATCH(B243,Listas!$A$2:$A$14,0)),"?"))</f>
        <v/>
      </c>
      <c r="D243" s="14" t="n"/>
      <c r="E243" s="14" t="n"/>
      <c r="F243" s="21">
        <f>IF(AND(D243="",E243=""),"",D243*60+E243)</f>
        <v/>
      </c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</row>
    <row r="244">
      <c r="A244" s="14" t="n"/>
      <c r="B244" s="14" t="n"/>
      <c r="C244" s="21">
        <f>IF(B244="","",IFERROR(INDEX(Listas!$B$2:$B$14,MATCH(B244,Listas!$A$2:$A$14,0)),"?"))</f>
        <v/>
      </c>
      <c r="D244" s="14" t="n"/>
      <c r="E244" s="14" t="n"/>
      <c r="F244" s="21">
        <f>IF(AND(D244="",E244=""),"",D244*60+E244)</f>
        <v/>
      </c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</row>
    <row r="245">
      <c r="A245" s="14" t="n"/>
      <c r="B245" s="14" t="n"/>
      <c r="C245" s="21">
        <f>IF(B245="","",IFERROR(INDEX(Listas!$B$2:$B$14,MATCH(B245,Listas!$A$2:$A$14,0)),"?"))</f>
        <v/>
      </c>
      <c r="D245" s="14" t="n"/>
      <c r="E245" s="14" t="n"/>
      <c r="F245" s="21">
        <f>IF(AND(D245="",E245=""),"",D245*60+E245)</f>
        <v/>
      </c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</row>
    <row r="246">
      <c r="A246" s="14" t="n"/>
      <c r="B246" s="14" t="n"/>
      <c r="C246" s="21">
        <f>IF(B246="","",IFERROR(INDEX(Listas!$B$2:$B$14,MATCH(B246,Listas!$A$2:$A$14,0)),"?"))</f>
        <v/>
      </c>
      <c r="D246" s="14" t="n"/>
      <c r="E246" s="14" t="n"/>
      <c r="F246" s="21">
        <f>IF(AND(D246="",E246=""),"",D246*60+E246)</f>
        <v/>
      </c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</row>
    <row r="247">
      <c r="A247" s="14" t="n"/>
      <c r="B247" s="14" t="n"/>
      <c r="C247" s="21">
        <f>IF(B247="","",IFERROR(INDEX(Listas!$B$2:$B$14,MATCH(B247,Listas!$A$2:$A$14,0)),"?"))</f>
        <v/>
      </c>
      <c r="D247" s="14" t="n"/>
      <c r="E247" s="14" t="n"/>
      <c r="F247" s="21">
        <f>IF(AND(D247="",E247=""),"",D247*60+E247)</f>
        <v/>
      </c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</row>
    <row r="248">
      <c r="A248" s="14" t="n"/>
      <c r="B248" s="14" t="n"/>
      <c r="C248" s="21">
        <f>IF(B248="","",IFERROR(INDEX(Listas!$B$2:$B$14,MATCH(B248,Listas!$A$2:$A$14,0)),"?"))</f>
        <v/>
      </c>
      <c r="D248" s="14" t="n"/>
      <c r="E248" s="14" t="n"/>
      <c r="F248" s="21">
        <f>IF(AND(D248="",E248=""),"",D248*60+E248)</f>
        <v/>
      </c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</row>
    <row r="249">
      <c r="A249" s="14" t="n"/>
      <c r="B249" s="14" t="n"/>
      <c r="C249" s="21">
        <f>IF(B249="","",IFERROR(INDEX(Listas!$B$2:$B$14,MATCH(B249,Listas!$A$2:$A$14,0)),"?"))</f>
        <v/>
      </c>
      <c r="D249" s="14" t="n"/>
      <c r="E249" s="14" t="n"/>
      <c r="F249" s="21">
        <f>IF(AND(D249="",E249=""),"",D249*60+E249)</f>
        <v/>
      </c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</row>
    <row r="250">
      <c r="A250" s="14" t="n"/>
      <c r="B250" s="14" t="n"/>
      <c r="C250" s="21">
        <f>IF(B250="","",IFERROR(INDEX(Listas!$B$2:$B$14,MATCH(B250,Listas!$A$2:$A$14,0)),"?"))</f>
        <v/>
      </c>
      <c r="D250" s="14" t="n"/>
      <c r="E250" s="14" t="n"/>
      <c r="F250" s="21">
        <f>IF(AND(D250="",E250=""),"",D250*60+E250)</f>
        <v/>
      </c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</row>
    <row r="251">
      <c r="A251" s="14" t="n"/>
      <c r="B251" s="14" t="n"/>
      <c r="C251" s="21">
        <f>IF(B251="","",IFERROR(INDEX(Listas!$B$2:$B$14,MATCH(B251,Listas!$A$2:$A$14,0)),"?"))</f>
        <v/>
      </c>
      <c r="D251" s="14" t="n"/>
      <c r="E251" s="14" t="n"/>
      <c r="F251" s="21">
        <f>IF(AND(D251="",E251=""),"",D251*60+E251)</f>
        <v/>
      </c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</row>
    <row r="252">
      <c r="A252" s="14" t="n"/>
      <c r="B252" s="14" t="n"/>
      <c r="C252" s="21">
        <f>IF(B252="","",IFERROR(INDEX(Listas!$B$2:$B$14,MATCH(B252,Listas!$A$2:$A$14,0)),"?"))</f>
        <v/>
      </c>
      <c r="D252" s="14" t="n"/>
      <c r="E252" s="14" t="n"/>
      <c r="F252" s="21">
        <f>IF(AND(D252="",E252=""),"",D252*60+E252)</f>
        <v/>
      </c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</row>
    <row r="253">
      <c r="A253" s="14" t="n"/>
      <c r="B253" s="14" t="n"/>
      <c r="C253" s="21">
        <f>IF(B253="","",IFERROR(INDEX(Listas!$B$2:$B$14,MATCH(B253,Listas!$A$2:$A$14,0)),"?"))</f>
        <v/>
      </c>
      <c r="D253" s="14" t="n"/>
      <c r="E253" s="14" t="n"/>
      <c r="F253" s="21">
        <f>IF(AND(D253="",E253=""),"",D253*60+E253)</f>
        <v/>
      </c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</row>
    <row r="254">
      <c r="A254" s="14" t="n"/>
      <c r="B254" s="14" t="n"/>
      <c r="C254" s="21">
        <f>IF(B254="","",IFERROR(INDEX(Listas!$B$2:$B$14,MATCH(B254,Listas!$A$2:$A$14,0)),"?"))</f>
        <v/>
      </c>
      <c r="D254" s="14" t="n"/>
      <c r="E254" s="14" t="n"/>
      <c r="F254" s="21">
        <f>IF(AND(D254="",E254=""),"",D254*60+E254)</f>
        <v/>
      </c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</row>
    <row r="255">
      <c r="A255" s="14" t="n"/>
      <c r="B255" s="14" t="n"/>
      <c r="C255" s="21">
        <f>IF(B255="","",IFERROR(INDEX(Listas!$B$2:$B$14,MATCH(B255,Listas!$A$2:$A$14,0)),"?"))</f>
        <v/>
      </c>
      <c r="D255" s="14" t="n"/>
      <c r="E255" s="14" t="n"/>
      <c r="F255" s="21">
        <f>IF(AND(D255="",E255=""),"",D255*60+E255)</f>
        <v/>
      </c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</row>
    <row r="256">
      <c r="A256" s="14" t="n"/>
      <c r="B256" s="14" t="n"/>
      <c r="C256" s="21">
        <f>IF(B256="","",IFERROR(INDEX(Listas!$B$2:$B$14,MATCH(B256,Listas!$A$2:$A$14,0)),"?"))</f>
        <v/>
      </c>
      <c r="D256" s="14" t="n"/>
      <c r="E256" s="14" t="n"/>
      <c r="F256" s="21">
        <f>IF(AND(D256="",E256=""),"",D256*60+E256)</f>
        <v/>
      </c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</row>
    <row r="257">
      <c r="A257" s="14" t="n"/>
      <c r="B257" s="14" t="n"/>
      <c r="C257" s="21">
        <f>IF(B257="","",IFERROR(INDEX(Listas!$B$2:$B$14,MATCH(B257,Listas!$A$2:$A$14,0)),"?"))</f>
        <v/>
      </c>
      <c r="D257" s="14" t="n"/>
      <c r="E257" s="14" t="n"/>
      <c r="F257" s="21">
        <f>IF(AND(D257="",E257=""),"",D257*60+E257)</f>
        <v/>
      </c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</row>
    <row r="258">
      <c r="A258" s="14" t="n"/>
      <c r="B258" s="14" t="n"/>
      <c r="C258" s="21">
        <f>IF(B258="","",IFERROR(INDEX(Listas!$B$2:$B$14,MATCH(B258,Listas!$A$2:$A$14,0)),"?"))</f>
        <v/>
      </c>
      <c r="D258" s="14" t="n"/>
      <c r="E258" s="14" t="n"/>
      <c r="F258" s="21">
        <f>IF(AND(D258="",E258=""),"",D258*60+E258)</f>
        <v/>
      </c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</row>
    <row r="259">
      <c r="A259" s="14" t="n"/>
      <c r="B259" s="14" t="n"/>
      <c r="C259" s="21">
        <f>IF(B259="","",IFERROR(INDEX(Listas!$B$2:$B$14,MATCH(B259,Listas!$A$2:$A$14,0)),"?"))</f>
        <v/>
      </c>
      <c r="D259" s="14" t="n"/>
      <c r="E259" s="14" t="n"/>
      <c r="F259" s="21">
        <f>IF(AND(D259="",E259=""),"",D259*60+E259)</f>
        <v/>
      </c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</row>
    <row r="260">
      <c r="A260" s="14" t="n"/>
      <c r="B260" s="14" t="n"/>
      <c r="C260" s="21">
        <f>IF(B260="","",IFERROR(INDEX(Listas!$B$2:$B$14,MATCH(B260,Listas!$A$2:$A$14,0)),"?"))</f>
        <v/>
      </c>
      <c r="D260" s="14" t="n"/>
      <c r="E260" s="14" t="n"/>
      <c r="F260" s="21">
        <f>IF(AND(D260="",E260=""),"",D260*60+E260)</f>
        <v/>
      </c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</row>
    <row r="261">
      <c r="A261" s="14" t="n"/>
      <c r="B261" s="14" t="n"/>
      <c r="C261" s="21">
        <f>IF(B261="","",IFERROR(INDEX(Listas!$B$2:$B$14,MATCH(B261,Listas!$A$2:$A$14,0)),"?"))</f>
        <v/>
      </c>
      <c r="D261" s="14" t="n"/>
      <c r="E261" s="14" t="n"/>
      <c r="F261" s="21">
        <f>IF(AND(D261="",E261=""),"",D261*60+E261)</f>
        <v/>
      </c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</row>
    <row r="262">
      <c r="A262" s="14" t="n"/>
      <c r="B262" s="14" t="n"/>
      <c r="C262" s="21">
        <f>IF(B262="","",IFERROR(INDEX(Listas!$B$2:$B$14,MATCH(B262,Listas!$A$2:$A$14,0)),"?"))</f>
        <v/>
      </c>
      <c r="D262" s="14" t="n"/>
      <c r="E262" s="14" t="n"/>
      <c r="F262" s="21">
        <f>IF(AND(D262="",E262=""),"",D262*60+E262)</f>
        <v/>
      </c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</row>
    <row r="263">
      <c r="A263" s="14" t="n"/>
      <c r="B263" s="14" t="n"/>
      <c r="C263" s="21">
        <f>IF(B263="","",IFERROR(INDEX(Listas!$B$2:$B$14,MATCH(B263,Listas!$A$2:$A$14,0)),"?"))</f>
        <v/>
      </c>
      <c r="D263" s="14" t="n"/>
      <c r="E263" s="14" t="n"/>
      <c r="F263" s="21">
        <f>IF(AND(D263="",E263=""),"",D263*60+E263)</f>
        <v/>
      </c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</row>
    <row r="264">
      <c r="A264" s="14" t="n"/>
      <c r="B264" s="14" t="n"/>
      <c r="C264" s="21">
        <f>IF(B264="","",IFERROR(INDEX(Listas!$B$2:$B$14,MATCH(B264,Listas!$A$2:$A$14,0)),"?"))</f>
        <v/>
      </c>
      <c r="D264" s="14" t="n"/>
      <c r="E264" s="14" t="n"/>
      <c r="F264" s="21">
        <f>IF(AND(D264="",E264=""),"",D264*60+E264)</f>
        <v/>
      </c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</row>
    <row r="265">
      <c r="A265" s="14" t="n"/>
      <c r="B265" s="14" t="n"/>
      <c r="C265" s="21">
        <f>IF(B265="","",IFERROR(INDEX(Listas!$B$2:$B$14,MATCH(B265,Listas!$A$2:$A$14,0)),"?"))</f>
        <v/>
      </c>
      <c r="D265" s="14" t="n"/>
      <c r="E265" s="14" t="n"/>
      <c r="F265" s="21">
        <f>IF(AND(D265="",E265=""),"",D265*60+E265)</f>
        <v/>
      </c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</row>
    <row r="266">
      <c r="A266" s="14" t="n"/>
      <c r="B266" s="14" t="n"/>
      <c r="C266" s="21">
        <f>IF(B266="","",IFERROR(INDEX(Listas!$B$2:$B$14,MATCH(B266,Listas!$A$2:$A$14,0)),"?"))</f>
        <v/>
      </c>
      <c r="D266" s="14" t="n"/>
      <c r="E266" s="14" t="n"/>
      <c r="F266" s="21">
        <f>IF(AND(D266="",E266=""),"",D266*60+E266)</f>
        <v/>
      </c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</row>
    <row r="267">
      <c r="A267" s="14" t="n"/>
      <c r="B267" s="14" t="n"/>
      <c r="C267" s="21">
        <f>IF(B267="","",IFERROR(INDEX(Listas!$B$2:$B$14,MATCH(B267,Listas!$A$2:$A$14,0)),"?"))</f>
        <v/>
      </c>
      <c r="D267" s="14" t="n"/>
      <c r="E267" s="14" t="n"/>
      <c r="F267" s="21">
        <f>IF(AND(D267="",E267=""),"",D267*60+E267)</f>
        <v/>
      </c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</row>
    <row r="268">
      <c r="A268" s="14" t="n"/>
      <c r="B268" s="14" t="n"/>
      <c r="C268" s="21">
        <f>IF(B268="","",IFERROR(INDEX(Listas!$B$2:$B$14,MATCH(B268,Listas!$A$2:$A$14,0)),"?"))</f>
        <v/>
      </c>
      <c r="D268" s="14" t="n"/>
      <c r="E268" s="14" t="n"/>
      <c r="F268" s="21">
        <f>IF(AND(D268="",E268=""),"",D268*60+E268)</f>
        <v/>
      </c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</row>
    <row r="269">
      <c r="A269" s="14" t="n"/>
      <c r="B269" s="14" t="n"/>
      <c r="C269" s="21">
        <f>IF(B269="","",IFERROR(INDEX(Listas!$B$2:$B$14,MATCH(B269,Listas!$A$2:$A$14,0)),"?"))</f>
        <v/>
      </c>
      <c r="D269" s="14" t="n"/>
      <c r="E269" s="14" t="n"/>
      <c r="F269" s="21">
        <f>IF(AND(D269="",E269=""),"",D269*60+E269)</f>
        <v/>
      </c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</row>
    <row r="270">
      <c r="A270" s="14" t="n"/>
      <c r="B270" s="14" t="n"/>
      <c r="C270" s="21">
        <f>IF(B270="","",IFERROR(INDEX(Listas!$B$2:$B$14,MATCH(B270,Listas!$A$2:$A$14,0)),"?"))</f>
        <v/>
      </c>
      <c r="D270" s="14" t="n"/>
      <c r="E270" s="14" t="n"/>
      <c r="F270" s="21">
        <f>IF(AND(D270="",E270=""),"",D270*60+E270)</f>
        <v/>
      </c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</row>
    <row r="271">
      <c r="A271" s="14" t="n"/>
      <c r="B271" s="14" t="n"/>
      <c r="C271" s="21">
        <f>IF(B271="","",IFERROR(INDEX(Listas!$B$2:$B$14,MATCH(B271,Listas!$A$2:$A$14,0)),"?"))</f>
        <v/>
      </c>
      <c r="D271" s="14" t="n"/>
      <c r="E271" s="14" t="n"/>
      <c r="F271" s="21">
        <f>IF(AND(D271="",E271=""),"",D271*60+E271)</f>
        <v/>
      </c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</row>
    <row r="272">
      <c r="A272" s="14" t="n"/>
      <c r="B272" s="14" t="n"/>
      <c r="C272" s="21">
        <f>IF(B272="","",IFERROR(INDEX(Listas!$B$2:$B$14,MATCH(B272,Listas!$A$2:$A$14,0)),"?"))</f>
        <v/>
      </c>
      <c r="D272" s="14" t="n"/>
      <c r="E272" s="14" t="n"/>
      <c r="F272" s="21">
        <f>IF(AND(D272="",E272=""),"",D272*60+E272)</f>
        <v/>
      </c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</row>
    <row r="273">
      <c r="A273" s="14" t="n"/>
      <c r="B273" s="14" t="n"/>
      <c r="C273" s="21">
        <f>IF(B273="","",IFERROR(INDEX(Listas!$B$2:$B$14,MATCH(B273,Listas!$A$2:$A$14,0)),"?"))</f>
        <v/>
      </c>
      <c r="D273" s="14" t="n"/>
      <c r="E273" s="14" t="n"/>
      <c r="F273" s="21">
        <f>IF(AND(D273="",E273=""),"",D273*60+E273)</f>
        <v/>
      </c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</row>
    <row r="274">
      <c r="A274" s="14" t="n"/>
      <c r="B274" s="14" t="n"/>
      <c r="C274" s="21">
        <f>IF(B274="","",IFERROR(INDEX(Listas!$B$2:$B$14,MATCH(B274,Listas!$A$2:$A$14,0)),"?"))</f>
        <v/>
      </c>
      <c r="D274" s="14" t="n"/>
      <c r="E274" s="14" t="n"/>
      <c r="F274" s="21">
        <f>IF(AND(D274="",E274=""),"",D274*60+E274)</f>
        <v/>
      </c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</row>
    <row r="275">
      <c r="A275" s="14" t="n"/>
      <c r="B275" s="14" t="n"/>
      <c r="C275" s="21">
        <f>IF(B275="","",IFERROR(INDEX(Listas!$B$2:$B$14,MATCH(B275,Listas!$A$2:$A$14,0)),"?"))</f>
        <v/>
      </c>
      <c r="D275" s="14" t="n"/>
      <c r="E275" s="14" t="n"/>
      <c r="F275" s="21">
        <f>IF(AND(D275="",E275=""),"",D275*60+E275)</f>
        <v/>
      </c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</row>
    <row r="276">
      <c r="A276" s="14" t="n"/>
      <c r="B276" s="14" t="n"/>
      <c r="C276" s="21">
        <f>IF(B276="","",IFERROR(INDEX(Listas!$B$2:$B$14,MATCH(B276,Listas!$A$2:$A$14,0)),"?"))</f>
        <v/>
      </c>
      <c r="D276" s="14" t="n"/>
      <c r="E276" s="14" t="n"/>
      <c r="F276" s="21">
        <f>IF(AND(D276="",E276=""),"",D276*60+E276)</f>
        <v/>
      </c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</row>
    <row r="277">
      <c r="A277" s="14" t="n"/>
      <c r="B277" s="14" t="n"/>
      <c r="C277" s="21">
        <f>IF(B277="","",IFERROR(INDEX(Listas!$B$2:$B$14,MATCH(B277,Listas!$A$2:$A$14,0)),"?"))</f>
        <v/>
      </c>
      <c r="D277" s="14" t="n"/>
      <c r="E277" s="14" t="n"/>
      <c r="F277" s="21">
        <f>IF(AND(D277="",E277=""),"",D277*60+E277)</f>
        <v/>
      </c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</row>
    <row r="278">
      <c r="A278" s="14" t="n"/>
      <c r="B278" s="14" t="n"/>
      <c r="C278" s="21">
        <f>IF(B278="","",IFERROR(INDEX(Listas!$B$2:$B$14,MATCH(B278,Listas!$A$2:$A$14,0)),"?"))</f>
        <v/>
      </c>
      <c r="D278" s="14" t="n"/>
      <c r="E278" s="14" t="n"/>
      <c r="F278" s="21">
        <f>IF(AND(D278="",E278=""),"",D278*60+E278)</f>
        <v/>
      </c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</row>
    <row r="279">
      <c r="A279" s="14" t="n"/>
      <c r="B279" s="14" t="n"/>
      <c r="C279" s="21">
        <f>IF(B279="","",IFERROR(INDEX(Listas!$B$2:$B$14,MATCH(B279,Listas!$A$2:$A$14,0)),"?"))</f>
        <v/>
      </c>
      <c r="D279" s="14" t="n"/>
      <c r="E279" s="14" t="n"/>
      <c r="F279" s="21">
        <f>IF(AND(D279="",E279=""),"",D279*60+E279)</f>
        <v/>
      </c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</row>
    <row r="280">
      <c r="A280" s="14" t="n"/>
      <c r="B280" s="14" t="n"/>
      <c r="C280" s="21">
        <f>IF(B280="","",IFERROR(INDEX(Listas!$B$2:$B$14,MATCH(B280,Listas!$A$2:$A$14,0)),"?"))</f>
        <v/>
      </c>
      <c r="D280" s="14" t="n"/>
      <c r="E280" s="14" t="n"/>
      <c r="F280" s="21">
        <f>IF(AND(D280="",E280=""),"",D280*60+E280)</f>
        <v/>
      </c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</row>
    <row r="281">
      <c r="A281" s="14" t="n"/>
      <c r="B281" s="14" t="n"/>
      <c r="C281" s="21">
        <f>IF(B281="","",IFERROR(INDEX(Listas!$B$2:$B$14,MATCH(B281,Listas!$A$2:$A$14,0)),"?"))</f>
        <v/>
      </c>
      <c r="D281" s="14" t="n"/>
      <c r="E281" s="14" t="n"/>
      <c r="F281" s="21">
        <f>IF(AND(D281="",E281=""),"",D281*60+E281)</f>
        <v/>
      </c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</row>
    <row r="282">
      <c r="A282" s="14" t="n"/>
      <c r="B282" s="14" t="n"/>
      <c r="C282" s="21">
        <f>IF(B282="","",IFERROR(INDEX(Listas!$B$2:$B$14,MATCH(B282,Listas!$A$2:$A$14,0)),"?"))</f>
        <v/>
      </c>
      <c r="D282" s="14" t="n"/>
      <c r="E282" s="14" t="n"/>
      <c r="F282" s="21">
        <f>IF(AND(D282="",E282=""),"",D282*60+E282)</f>
        <v/>
      </c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</row>
    <row r="283">
      <c r="A283" s="14" t="n"/>
      <c r="B283" s="14" t="n"/>
      <c r="C283" s="21">
        <f>IF(B283="","",IFERROR(INDEX(Listas!$B$2:$B$14,MATCH(B283,Listas!$A$2:$A$14,0)),"?"))</f>
        <v/>
      </c>
      <c r="D283" s="14" t="n"/>
      <c r="E283" s="14" t="n"/>
      <c r="F283" s="21">
        <f>IF(AND(D283="",E283=""),"",D283*60+E283)</f>
        <v/>
      </c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</row>
    <row r="284">
      <c r="A284" s="14" t="n"/>
      <c r="B284" s="14" t="n"/>
      <c r="C284" s="21">
        <f>IF(B284="","",IFERROR(INDEX(Listas!$B$2:$B$14,MATCH(B284,Listas!$A$2:$A$14,0)),"?"))</f>
        <v/>
      </c>
      <c r="D284" s="14" t="n"/>
      <c r="E284" s="14" t="n"/>
      <c r="F284" s="21">
        <f>IF(AND(D284="",E284=""),"",D284*60+E284)</f>
        <v/>
      </c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</row>
    <row r="285">
      <c r="A285" s="14" t="n"/>
      <c r="B285" s="14" t="n"/>
      <c r="C285" s="21">
        <f>IF(B285="","",IFERROR(INDEX(Listas!$B$2:$B$14,MATCH(B285,Listas!$A$2:$A$14,0)),"?"))</f>
        <v/>
      </c>
      <c r="D285" s="14" t="n"/>
      <c r="E285" s="14" t="n"/>
      <c r="F285" s="21">
        <f>IF(AND(D285="",E285=""),"",D285*60+E285)</f>
        <v/>
      </c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</row>
    <row r="286">
      <c r="A286" s="14" t="n"/>
      <c r="B286" s="14" t="n"/>
      <c r="C286" s="21">
        <f>IF(B286="","",IFERROR(INDEX(Listas!$B$2:$B$14,MATCH(B286,Listas!$A$2:$A$14,0)),"?"))</f>
        <v/>
      </c>
      <c r="D286" s="14" t="n"/>
      <c r="E286" s="14" t="n"/>
      <c r="F286" s="21">
        <f>IF(AND(D286="",E286=""),"",D286*60+E286)</f>
        <v/>
      </c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</row>
    <row r="287">
      <c r="A287" s="14" t="n"/>
      <c r="B287" s="14" t="n"/>
      <c r="C287" s="21">
        <f>IF(B287="","",IFERROR(INDEX(Listas!$B$2:$B$14,MATCH(B287,Listas!$A$2:$A$14,0)),"?"))</f>
        <v/>
      </c>
      <c r="D287" s="14" t="n"/>
      <c r="E287" s="14" t="n"/>
      <c r="F287" s="21">
        <f>IF(AND(D287="",E287=""),"",D287*60+E287)</f>
        <v/>
      </c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</row>
    <row r="288">
      <c r="A288" s="14" t="n"/>
      <c r="B288" s="14" t="n"/>
      <c r="C288" s="21">
        <f>IF(B288="","",IFERROR(INDEX(Listas!$B$2:$B$14,MATCH(B288,Listas!$A$2:$A$14,0)),"?"))</f>
        <v/>
      </c>
      <c r="D288" s="14" t="n"/>
      <c r="E288" s="14" t="n"/>
      <c r="F288" s="21">
        <f>IF(AND(D288="",E288=""),"",D288*60+E288)</f>
        <v/>
      </c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</row>
    <row r="289">
      <c r="A289" s="14" t="n"/>
      <c r="B289" s="14" t="n"/>
      <c r="C289" s="21">
        <f>IF(B289="","",IFERROR(INDEX(Listas!$B$2:$B$14,MATCH(B289,Listas!$A$2:$A$14,0)),"?"))</f>
        <v/>
      </c>
      <c r="D289" s="14" t="n"/>
      <c r="E289" s="14" t="n"/>
      <c r="F289" s="21">
        <f>IF(AND(D289="",E289=""),"",D289*60+E289)</f>
        <v/>
      </c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</row>
    <row r="290">
      <c r="A290" s="14" t="n"/>
      <c r="B290" s="14" t="n"/>
      <c r="C290" s="21">
        <f>IF(B290="","",IFERROR(INDEX(Listas!$B$2:$B$14,MATCH(B290,Listas!$A$2:$A$14,0)),"?"))</f>
        <v/>
      </c>
      <c r="D290" s="14" t="n"/>
      <c r="E290" s="14" t="n"/>
      <c r="F290" s="21">
        <f>IF(AND(D290="",E290=""),"",D290*60+E290)</f>
        <v/>
      </c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</row>
    <row r="291">
      <c r="A291" s="14" t="n"/>
      <c r="B291" s="14" t="n"/>
      <c r="C291" s="21">
        <f>IF(B291="","",IFERROR(INDEX(Listas!$B$2:$B$14,MATCH(B291,Listas!$A$2:$A$14,0)),"?"))</f>
        <v/>
      </c>
      <c r="D291" s="14" t="n"/>
      <c r="E291" s="14" t="n"/>
      <c r="F291" s="21">
        <f>IF(AND(D291="",E291=""),"",D291*60+E291)</f>
        <v/>
      </c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</row>
    <row r="292">
      <c r="A292" s="14" t="n"/>
      <c r="B292" s="14" t="n"/>
      <c r="C292" s="21">
        <f>IF(B292="","",IFERROR(INDEX(Listas!$B$2:$B$14,MATCH(B292,Listas!$A$2:$A$14,0)),"?"))</f>
        <v/>
      </c>
      <c r="D292" s="14" t="n"/>
      <c r="E292" s="14" t="n"/>
      <c r="F292" s="21">
        <f>IF(AND(D292="",E292=""),"",D292*60+E292)</f>
        <v/>
      </c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</row>
    <row r="293">
      <c r="A293" s="14" t="n"/>
      <c r="B293" s="14" t="n"/>
      <c r="C293" s="21">
        <f>IF(B293="","",IFERROR(INDEX(Listas!$B$2:$B$14,MATCH(B293,Listas!$A$2:$A$14,0)),"?"))</f>
        <v/>
      </c>
      <c r="D293" s="14" t="n"/>
      <c r="E293" s="14" t="n"/>
      <c r="F293" s="21">
        <f>IF(AND(D293="",E293=""),"",D293*60+E293)</f>
        <v/>
      </c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</row>
    <row r="294">
      <c r="A294" s="14" t="n"/>
      <c r="B294" s="14" t="n"/>
      <c r="C294" s="21">
        <f>IF(B294="","",IFERROR(INDEX(Listas!$B$2:$B$14,MATCH(B294,Listas!$A$2:$A$14,0)),"?"))</f>
        <v/>
      </c>
      <c r="D294" s="14" t="n"/>
      <c r="E294" s="14" t="n"/>
      <c r="F294" s="21">
        <f>IF(AND(D294="",E294=""),"",D294*60+E294)</f>
        <v/>
      </c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</row>
    <row r="295">
      <c r="A295" s="14" t="n"/>
      <c r="B295" s="14" t="n"/>
      <c r="C295" s="21">
        <f>IF(B295="","",IFERROR(INDEX(Listas!$B$2:$B$14,MATCH(B295,Listas!$A$2:$A$14,0)),"?"))</f>
        <v/>
      </c>
      <c r="D295" s="14" t="n"/>
      <c r="E295" s="14" t="n"/>
      <c r="F295" s="21">
        <f>IF(AND(D295="",E295=""),"",D295*60+E295)</f>
        <v/>
      </c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</row>
    <row r="296">
      <c r="A296" s="14" t="n"/>
      <c r="B296" s="14" t="n"/>
      <c r="C296" s="21">
        <f>IF(B296="","",IFERROR(INDEX(Listas!$B$2:$B$14,MATCH(B296,Listas!$A$2:$A$14,0)),"?"))</f>
        <v/>
      </c>
      <c r="D296" s="14" t="n"/>
      <c r="E296" s="14" t="n"/>
      <c r="F296" s="21">
        <f>IF(AND(D296="",E296=""),"",D296*60+E296)</f>
        <v/>
      </c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</row>
    <row r="297">
      <c r="A297" s="14" t="n"/>
      <c r="B297" s="14" t="n"/>
      <c r="C297" s="21">
        <f>IF(B297="","",IFERROR(INDEX(Listas!$B$2:$B$14,MATCH(B297,Listas!$A$2:$A$14,0)),"?"))</f>
        <v/>
      </c>
      <c r="D297" s="14" t="n"/>
      <c r="E297" s="14" t="n"/>
      <c r="F297" s="21">
        <f>IF(AND(D297="",E297=""),"",D297*60+E297)</f>
        <v/>
      </c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</row>
    <row r="298">
      <c r="A298" s="14" t="n"/>
      <c r="B298" s="14" t="n"/>
      <c r="C298" s="21">
        <f>IF(B298="","",IFERROR(INDEX(Listas!$B$2:$B$14,MATCH(B298,Listas!$A$2:$A$14,0)),"?"))</f>
        <v/>
      </c>
      <c r="D298" s="14" t="n"/>
      <c r="E298" s="14" t="n"/>
      <c r="F298" s="21">
        <f>IF(AND(D298="",E298=""),"",D298*60+E298)</f>
        <v/>
      </c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</row>
    <row r="299">
      <c r="A299" s="14" t="n"/>
      <c r="B299" s="14" t="n"/>
      <c r="C299" s="21">
        <f>IF(B299="","",IFERROR(INDEX(Listas!$B$2:$B$14,MATCH(B299,Listas!$A$2:$A$14,0)),"?"))</f>
        <v/>
      </c>
      <c r="D299" s="14" t="n"/>
      <c r="E299" s="14" t="n"/>
      <c r="F299" s="21">
        <f>IF(AND(D299="",E299=""),"",D299*60+E299)</f>
        <v/>
      </c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</row>
    <row r="300">
      <c r="A300" s="14" t="n"/>
      <c r="B300" s="14" t="n"/>
      <c r="C300" s="21">
        <f>IF(B300="","",IFERROR(INDEX(Listas!$B$2:$B$14,MATCH(B300,Listas!$A$2:$A$14,0)),"?"))</f>
        <v/>
      </c>
      <c r="D300" s="14" t="n"/>
      <c r="E300" s="14" t="n"/>
      <c r="F300" s="21">
        <f>IF(AND(D300="",E300=""),"",D300*60+E300)</f>
        <v/>
      </c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</row>
    <row r="301">
      <c r="A301" s="14" t="n"/>
      <c r="B301" s="14" t="n"/>
      <c r="C301" s="21">
        <f>IF(B301="","",IFERROR(INDEX(Listas!$B$2:$B$14,MATCH(B301,Listas!$A$2:$A$14,0)),"?"))</f>
        <v/>
      </c>
      <c r="D301" s="14" t="n"/>
      <c r="E301" s="14" t="n"/>
      <c r="F301" s="21">
        <f>IF(AND(D301="",E301=""),"",D301*60+E301)</f>
        <v/>
      </c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</row>
    <row r="302">
      <c r="A302" s="14" t="n"/>
      <c r="B302" s="14" t="n"/>
      <c r="C302" s="21">
        <f>IF(B302="","",IFERROR(INDEX(Listas!$B$2:$B$14,MATCH(B302,Listas!$A$2:$A$14,0)),"?"))</f>
        <v/>
      </c>
      <c r="D302" s="14" t="n"/>
      <c r="E302" s="14" t="n"/>
      <c r="F302" s="21">
        <f>IF(AND(D302="",E302=""),"",D302*60+E302)</f>
        <v/>
      </c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</row>
    <row r="303">
      <c r="A303" s="14" t="n"/>
      <c r="B303" s="14" t="n"/>
      <c r="C303" s="21">
        <f>IF(B303="","",IFERROR(INDEX(Listas!$B$2:$B$14,MATCH(B303,Listas!$A$2:$A$14,0)),"?"))</f>
        <v/>
      </c>
      <c r="D303" s="14" t="n"/>
      <c r="E303" s="14" t="n"/>
      <c r="F303" s="21">
        <f>IF(AND(D303="",E303=""),"",D303*60+E303)</f>
        <v/>
      </c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</row>
    <row r="304">
      <c r="A304" s="14" t="n"/>
      <c r="B304" s="14" t="n"/>
      <c r="C304" s="21">
        <f>IF(B304="","",IFERROR(INDEX(Listas!$B$2:$B$14,MATCH(B304,Listas!$A$2:$A$14,0)),"?"))</f>
        <v/>
      </c>
      <c r="D304" s="14" t="n"/>
      <c r="E304" s="14" t="n"/>
      <c r="F304" s="21">
        <f>IF(AND(D304="",E304=""),"",D304*60+E304)</f>
        <v/>
      </c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</row>
    <row r="305">
      <c r="A305" s="14" t="n"/>
      <c r="B305" s="14" t="n"/>
      <c r="C305" s="21">
        <f>IF(B305="","",IFERROR(INDEX(Listas!$B$2:$B$14,MATCH(B305,Listas!$A$2:$A$14,0)),"?"))</f>
        <v/>
      </c>
      <c r="D305" s="14" t="n"/>
      <c r="E305" s="14" t="n"/>
      <c r="F305" s="21">
        <f>IF(AND(D305="",E305=""),"",D305*60+E305)</f>
        <v/>
      </c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</row>
    <row r="306">
      <c r="A306" s="14" t="n"/>
      <c r="B306" s="14" t="n"/>
      <c r="C306" s="21">
        <f>IF(B306="","",IFERROR(INDEX(Listas!$B$2:$B$14,MATCH(B306,Listas!$A$2:$A$14,0)),"?"))</f>
        <v/>
      </c>
      <c r="D306" s="14" t="n"/>
      <c r="E306" s="14" t="n"/>
      <c r="F306" s="21">
        <f>IF(AND(D306="",E306=""),"",D306*60+E306)</f>
        <v/>
      </c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</row>
    <row r="307">
      <c r="A307" s="14" t="n"/>
      <c r="B307" s="14" t="n"/>
      <c r="C307" s="21">
        <f>IF(B307="","",IFERROR(INDEX(Listas!$B$2:$B$14,MATCH(B307,Listas!$A$2:$A$14,0)),"?"))</f>
        <v/>
      </c>
      <c r="D307" s="14" t="n"/>
      <c r="E307" s="14" t="n"/>
      <c r="F307" s="21">
        <f>IF(AND(D307="",E307=""),"",D307*60+E307)</f>
        <v/>
      </c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</row>
    <row r="308">
      <c r="A308" s="14" t="n"/>
      <c r="B308" s="14" t="n"/>
      <c r="C308" s="21">
        <f>IF(B308="","",IFERROR(INDEX(Listas!$B$2:$B$14,MATCH(B308,Listas!$A$2:$A$14,0)),"?"))</f>
        <v/>
      </c>
      <c r="D308" s="14" t="n"/>
      <c r="E308" s="14" t="n"/>
      <c r="F308" s="21">
        <f>IF(AND(D308="",E308=""),"",D308*60+E308)</f>
        <v/>
      </c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</row>
    <row r="309">
      <c r="A309" s="14" t="n"/>
      <c r="B309" s="14" t="n"/>
      <c r="C309" s="21">
        <f>IF(B309="","",IFERROR(INDEX(Listas!$B$2:$B$14,MATCH(B309,Listas!$A$2:$A$14,0)),"?"))</f>
        <v/>
      </c>
      <c r="D309" s="14" t="n"/>
      <c r="E309" s="14" t="n"/>
      <c r="F309" s="21">
        <f>IF(AND(D309="",E309=""),"",D309*60+E309)</f>
        <v/>
      </c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</row>
    <row r="310">
      <c r="A310" s="14" t="n"/>
      <c r="B310" s="14" t="n"/>
      <c r="C310" s="21">
        <f>IF(B310="","",IFERROR(INDEX(Listas!$B$2:$B$14,MATCH(B310,Listas!$A$2:$A$14,0)),"?"))</f>
        <v/>
      </c>
      <c r="D310" s="14" t="n"/>
      <c r="E310" s="14" t="n"/>
      <c r="F310" s="21">
        <f>IF(AND(D310="",E310=""),"",D310*60+E310)</f>
        <v/>
      </c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</row>
    <row r="311">
      <c r="A311" s="14" t="n"/>
      <c r="B311" s="14" t="n"/>
      <c r="C311" s="21">
        <f>IF(B311="","",IFERROR(INDEX(Listas!$B$2:$B$14,MATCH(B311,Listas!$A$2:$A$14,0)),"?"))</f>
        <v/>
      </c>
      <c r="D311" s="14" t="n"/>
      <c r="E311" s="14" t="n"/>
      <c r="F311" s="21">
        <f>IF(AND(D311="",E311=""),"",D311*60+E311)</f>
        <v/>
      </c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</row>
    <row r="312">
      <c r="A312" s="14" t="n"/>
      <c r="B312" s="14" t="n"/>
      <c r="C312" s="21">
        <f>IF(B312="","",IFERROR(INDEX(Listas!$B$2:$B$14,MATCH(B312,Listas!$A$2:$A$14,0)),"?"))</f>
        <v/>
      </c>
      <c r="D312" s="14" t="n"/>
      <c r="E312" s="14" t="n"/>
      <c r="F312" s="21">
        <f>IF(AND(D312="",E312=""),"",D312*60+E312)</f>
        <v/>
      </c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</row>
    <row r="313">
      <c r="A313" s="14" t="n"/>
      <c r="B313" s="14" t="n"/>
      <c r="C313" s="21">
        <f>IF(B313="","",IFERROR(INDEX(Listas!$B$2:$B$14,MATCH(B313,Listas!$A$2:$A$14,0)),"?"))</f>
        <v/>
      </c>
      <c r="D313" s="14" t="n"/>
      <c r="E313" s="14" t="n"/>
      <c r="F313" s="21">
        <f>IF(AND(D313="",E313=""),"",D313*60+E313)</f>
        <v/>
      </c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</row>
    <row r="314">
      <c r="A314" s="14" t="n"/>
      <c r="B314" s="14" t="n"/>
      <c r="C314" s="21">
        <f>IF(B314="","",IFERROR(INDEX(Listas!$B$2:$B$14,MATCH(B314,Listas!$A$2:$A$14,0)),"?"))</f>
        <v/>
      </c>
      <c r="D314" s="14" t="n"/>
      <c r="E314" s="14" t="n"/>
      <c r="F314" s="21">
        <f>IF(AND(D314="",E314=""),"",D314*60+E314)</f>
        <v/>
      </c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</row>
    <row r="315">
      <c r="A315" s="14" t="n"/>
      <c r="B315" s="14" t="n"/>
      <c r="C315" s="21">
        <f>IF(B315="","",IFERROR(INDEX(Listas!$B$2:$B$14,MATCH(B315,Listas!$A$2:$A$14,0)),"?"))</f>
        <v/>
      </c>
      <c r="D315" s="14" t="n"/>
      <c r="E315" s="14" t="n"/>
      <c r="F315" s="21">
        <f>IF(AND(D315="",E315=""),"",D315*60+E315)</f>
        <v/>
      </c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</row>
    <row r="316">
      <c r="A316" s="14" t="n"/>
      <c r="B316" s="14" t="n"/>
      <c r="C316" s="21">
        <f>IF(B316="","",IFERROR(INDEX(Listas!$B$2:$B$14,MATCH(B316,Listas!$A$2:$A$14,0)),"?"))</f>
        <v/>
      </c>
      <c r="D316" s="14" t="n"/>
      <c r="E316" s="14" t="n"/>
      <c r="F316" s="21">
        <f>IF(AND(D316="",E316=""),"",D316*60+E316)</f>
        <v/>
      </c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</row>
    <row r="317">
      <c r="A317" s="14" t="n"/>
      <c r="B317" s="14" t="n"/>
      <c r="C317" s="21">
        <f>IF(B317="","",IFERROR(INDEX(Listas!$B$2:$B$14,MATCH(B317,Listas!$A$2:$A$14,0)),"?"))</f>
        <v/>
      </c>
      <c r="D317" s="14" t="n"/>
      <c r="E317" s="14" t="n"/>
      <c r="F317" s="21">
        <f>IF(AND(D317="",E317=""),"",D317*60+E317)</f>
        <v/>
      </c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</row>
    <row r="318">
      <c r="A318" s="14" t="n"/>
      <c r="B318" s="14" t="n"/>
      <c r="C318" s="21">
        <f>IF(B318="","",IFERROR(INDEX(Listas!$B$2:$B$14,MATCH(B318,Listas!$A$2:$A$14,0)),"?"))</f>
        <v/>
      </c>
      <c r="D318" s="14" t="n"/>
      <c r="E318" s="14" t="n"/>
      <c r="F318" s="21">
        <f>IF(AND(D318="",E318=""),"",D318*60+E318)</f>
        <v/>
      </c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</row>
    <row r="319">
      <c r="A319" s="14" t="n"/>
      <c r="B319" s="14" t="n"/>
      <c r="C319" s="21">
        <f>IF(B319="","",IFERROR(INDEX(Listas!$B$2:$B$14,MATCH(B319,Listas!$A$2:$A$14,0)),"?"))</f>
        <v/>
      </c>
      <c r="D319" s="14" t="n"/>
      <c r="E319" s="14" t="n"/>
      <c r="F319" s="21">
        <f>IF(AND(D319="",E319=""),"",D319*60+E319)</f>
        <v/>
      </c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</row>
    <row r="320">
      <c r="A320" s="14" t="n"/>
      <c r="B320" s="14" t="n"/>
      <c r="C320" s="21">
        <f>IF(B320="","",IFERROR(INDEX(Listas!$B$2:$B$14,MATCH(B320,Listas!$A$2:$A$14,0)),"?"))</f>
        <v/>
      </c>
      <c r="D320" s="14" t="n"/>
      <c r="E320" s="14" t="n"/>
      <c r="F320" s="21">
        <f>IF(AND(D320="",E320=""),"",D320*60+E320)</f>
        <v/>
      </c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</row>
    <row r="321">
      <c r="A321" s="14" t="n"/>
      <c r="B321" s="14" t="n"/>
      <c r="C321" s="21">
        <f>IF(B321="","",IFERROR(INDEX(Listas!$B$2:$B$14,MATCH(B321,Listas!$A$2:$A$14,0)),"?"))</f>
        <v/>
      </c>
      <c r="D321" s="14" t="n"/>
      <c r="E321" s="14" t="n"/>
      <c r="F321" s="21">
        <f>IF(AND(D321="",E321=""),"",D321*60+E321)</f>
        <v/>
      </c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</row>
    <row r="322">
      <c r="A322" s="14" t="n"/>
      <c r="B322" s="14" t="n"/>
      <c r="C322" s="21">
        <f>IF(B322="","",IFERROR(INDEX(Listas!$B$2:$B$14,MATCH(B322,Listas!$A$2:$A$14,0)),"?"))</f>
        <v/>
      </c>
      <c r="D322" s="14" t="n"/>
      <c r="E322" s="14" t="n"/>
      <c r="F322" s="21">
        <f>IF(AND(D322="",E322=""),"",D322*60+E322)</f>
        <v/>
      </c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</row>
    <row r="323">
      <c r="A323" s="14" t="n"/>
      <c r="B323" s="14" t="n"/>
      <c r="C323" s="21">
        <f>IF(B323="","",IFERROR(INDEX(Listas!$B$2:$B$14,MATCH(B323,Listas!$A$2:$A$14,0)),"?"))</f>
        <v/>
      </c>
      <c r="D323" s="14" t="n"/>
      <c r="E323" s="14" t="n"/>
      <c r="F323" s="21">
        <f>IF(AND(D323="",E323=""),"",D323*60+E323)</f>
        <v/>
      </c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</row>
    <row r="324">
      <c r="A324" s="14" t="n"/>
      <c r="B324" s="14" t="n"/>
      <c r="C324" s="21">
        <f>IF(B324="","",IFERROR(INDEX(Listas!$B$2:$B$14,MATCH(B324,Listas!$A$2:$A$14,0)),"?"))</f>
        <v/>
      </c>
      <c r="D324" s="14" t="n"/>
      <c r="E324" s="14" t="n"/>
      <c r="F324" s="21">
        <f>IF(AND(D324="",E324=""),"",D324*60+E324)</f>
        <v/>
      </c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</row>
    <row r="325">
      <c r="A325" s="14" t="n"/>
      <c r="B325" s="14" t="n"/>
      <c r="C325" s="21">
        <f>IF(B325="","",IFERROR(INDEX(Listas!$B$2:$B$14,MATCH(B325,Listas!$A$2:$A$14,0)),"?"))</f>
        <v/>
      </c>
      <c r="D325" s="14" t="n"/>
      <c r="E325" s="14" t="n"/>
      <c r="F325" s="21">
        <f>IF(AND(D325="",E325=""),"",D325*60+E325)</f>
        <v/>
      </c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</row>
    <row r="326">
      <c r="A326" s="14" t="n"/>
      <c r="B326" s="14" t="n"/>
      <c r="C326" s="21">
        <f>IF(B326="","",IFERROR(INDEX(Listas!$B$2:$B$14,MATCH(B326,Listas!$A$2:$A$14,0)),"?"))</f>
        <v/>
      </c>
      <c r="D326" s="14" t="n"/>
      <c r="E326" s="14" t="n"/>
      <c r="F326" s="21">
        <f>IF(AND(D326="",E326=""),"",D326*60+E326)</f>
        <v/>
      </c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</row>
    <row r="327">
      <c r="A327" s="14" t="n"/>
      <c r="B327" s="14" t="n"/>
      <c r="C327" s="21">
        <f>IF(B327="","",IFERROR(INDEX(Listas!$B$2:$B$14,MATCH(B327,Listas!$A$2:$A$14,0)),"?"))</f>
        <v/>
      </c>
      <c r="D327" s="14" t="n"/>
      <c r="E327" s="14" t="n"/>
      <c r="F327" s="21">
        <f>IF(AND(D327="",E327=""),"",D327*60+E327)</f>
        <v/>
      </c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</row>
    <row r="328">
      <c r="A328" s="14" t="n"/>
      <c r="B328" s="14" t="n"/>
      <c r="C328" s="21">
        <f>IF(B328="","",IFERROR(INDEX(Listas!$B$2:$B$14,MATCH(B328,Listas!$A$2:$A$14,0)),"?"))</f>
        <v/>
      </c>
      <c r="D328" s="14" t="n"/>
      <c r="E328" s="14" t="n"/>
      <c r="F328" s="21">
        <f>IF(AND(D328="",E328=""),"",D328*60+E328)</f>
        <v/>
      </c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</row>
    <row r="329">
      <c r="A329" s="14" t="n"/>
      <c r="B329" s="14" t="n"/>
      <c r="C329" s="21">
        <f>IF(B329="","",IFERROR(INDEX(Listas!$B$2:$B$14,MATCH(B329,Listas!$A$2:$A$14,0)),"?"))</f>
        <v/>
      </c>
      <c r="D329" s="14" t="n"/>
      <c r="E329" s="14" t="n"/>
      <c r="F329" s="21">
        <f>IF(AND(D329="",E329=""),"",D329*60+E329)</f>
        <v/>
      </c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</row>
    <row r="330">
      <c r="A330" s="14" t="n"/>
      <c r="B330" s="14" t="n"/>
      <c r="C330" s="21">
        <f>IF(B330="","",IFERROR(INDEX(Listas!$B$2:$B$14,MATCH(B330,Listas!$A$2:$A$14,0)),"?"))</f>
        <v/>
      </c>
      <c r="D330" s="14" t="n"/>
      <c r="E330" s="14" t="n"/>
      <c r="F330" s="21">
        <f>IF(AND(D330="",E330=""),"",D330*60+E330)</f>
        <v/>
      </c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</row>
    <row r="331">
      <c r="A331" s="14" t="n"/>
      <c r="B331" s="14" t="n"/>
      <c r="C331" s="21">
        <f>IF(B331="","",IFERROR(INDEX(Listas!$B$2:$B$14,MATCH(B331,Listas!$A$2:$A$14,0)),"?"))</f>
        <v/>
      </c>
      <c r="D331" s="14" t="n"/>
      <c r="E331" s="14" t="n"/>
      <c r="F331" s="21">
        <f>IF(AND(D331="",E331=""),"",D331*60+E331)</f>
        <v/>
      </c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</row>
    <row r="332">
      <c r="A332" s="14" t="n"/>
      <c r="B332" s="14" t="n"/>
      <c r="C332" s="21">
        <f>IF(B332="","",IFERROR(INDEX(Listas!$B$2:$B$14,MATCH(B332,Listas!$A$2:$A$14,0)),"?"))</f>
        <v/>
      </c>
      <c r="D332" s="14" t="n"/>
      <c r="E332" s="14" t="n"/>
      <c r="F332" s="21">
        <f>IF(AND(D332="",E332=""),"",D332*60+E332)</f>
        <v/>
      </c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</row>
    <row r="333">
      <c r="A333" s="14" t="n"/>
      <c r="B333" s="14" t="n"/>
      <c r="C333" s="21">
        <f>IF(B333="","",IFERROR(INDEX(Listas!$B$2:$B$14,MATCH(B333,Listas!$A$2:$A$14,0)),"?"))</f>
        <v/>
      </c>
      <c r="D333" s="14" t="n"/>
      <c r="E333" s="14" t="n"/>
      <c r="F333" s="21">
        <f>IF(AND(D333="",E333=""),"",D333*60+E333)</f>
        <v/>
      </c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</row>
    <row r="334">
      <c r="A334" s="14" t="n"/>
      <c r="B334" s="14" t="n"/>
      <c r="C334" s="21">
        <f>IF(B334="","",IFERROR(INDEX(Listas!$B$2:$B$14,MATCH(B334,Listas!$A$2:$A$14,0)),"?"))</f>
        <v/>
      </c>
      <c r="D334" s="14" t="n"/>
      <c r="E334" s="14" t="n"/>
      <c r="F334" s="21">
        <f>IF(AND(D334="",E334=""),"",D334*60+E334)</f>
        <v/>
      </c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</row>
    <row r="335">
      <c r="A335" s="14" t="n"/>
      <c r="B335" s="14" t="n"/>
      <c r="C335" s="21">
        <f>IF(B335="","",IFERROR(INDEX(Listas!$B$2:$B$14,MATCH(B335,Listas!$A$2:$A$14,0)),"?"))</f>
        <v/>
      </c>
      <c r="D335" s="14" t="n"/>
      <c r="E335" s="14" t="n"/>
      <c r="F335" s="21">
        <f>IF(AND(D335="",E335=""),"",D335*60+E335)</f>
        <v/>
      </c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</row>
    <row r="336">
      <c r="A336" s="14" t="n"/>
      <c r="B336" s="14" t="n"/>
      <c r="C336" s="21">
        <f>IF(B336="","",IFERROR(INDEX(Listas!$B$2:$B$14,MATCH(B336,Listas!$A$2:$A$14,0)),"?"))</f>
        <v/>
      </c>
      <c r="D336" s="14" t="n"/>
      <c r="E336" s="14" t="n"/>
      <c r="F336" s="21">
        <f>IF(AND(D336="",E336=""),"",D336*60+E336)</f>
        <v/>
      </c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</row>
    <row r="337">
      <c r="A337" s="14" t="n"/>
      <c r="B337" s="14" t="n"/>
      <c r="C337" s="21">
        <f>IF(B337="","",IFERROR(INDEX(Listas!$B$2:$B$14,MATCH(B337,Listas!$A$2:$A$14,0)),"?"))</f>
        <v/>
      </c>
      <c r="D337" s="14" t="n"/>
      <c r="E337" s="14" t="n"/>
      <c r="F337" s="21">
        <f>IF(AND(D337="",E337=""),"",D337*60+E337)</f>
        <v/>
      </c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</row>
    <row r="338">
      <c r="A338" s="14" t="n"/>
      <c r="B338" s="14" t="n"/>
      <c r="C338" s="21">
        <f>IF(B338="","",IFERROR(INDEX(Listas!$B$2:$B$14,MATCH(B338,Listas!$A$2:$A$14,0)),"?"))</f>
        <v/>
      </c>
      <c r="D338" s="14" t="n"/>
      <c r="E338" s="14" t="n"/>
      <c r="F338" s="21">
        <f>IF(AND(D338="",E338=""),"",D338*60+E338)</f>
        <v/>
      </c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</row>
    <row r="339">
      <c r="A339" s="14" t="n"/>
      <c r="B339" s="14" t="n"/>
      <c r="C339" s="21">
        <f>IF(B339="","",IFERROR(INDEX(Listas!$B$2:$B$14,MATCH(B339,Listas!$A$2:$A$14,0)),"?"))</f>
        <v/>
      </c>
      <c r="D339" s="14" t="n"/>
      <c r="E339" s="14" t="n"/>
      <c r="F339" s="21">
        <f>IF(AND(D339="",E339=""),"",D339*60+E339)</f>
        <v/>
      </c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</row>
    <row r="340">
      <c r="A340" s="14" t="n"/>
      <c r="B340" s="14" t="n"/>
      <c r="C340" s="21">
        <f>IF(B340="","",IFERROR(INDEX(Listas!$B$2:$B$14,MATCH(B340,Listas!$A$2:$A$14,0)),"?"))</f>
        <v/>
      </c>
      <c r="D340" s="14" t="n"/>
      <c r="E340" s="14" t="n"/>
      <c r="F340" s="21">
        <f>IF(AND(D340="",E340=""),"",D340*60+E340)</f>
        <v/>
      </c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</row>
    <row r="341">
      <c r="A341" s="14" t="n"/>
      <c r="B341" s="14" t="n"/>
      <c r="C341" s="21">
        <f>IF(B341="","",IFERROR(INDEX(Listas!$B$2:$B$14,MATCH(B341,Listas!$A$2:$A$14,0)),"?"))</f>
        <v/>
      </c>
      <c r="D341" s="14" t="n"/>
      <c r="E341" s="14" t="n"/>
      <c r="F341" s="21">
        <f>IF(AND(D341="",E341=""),"",D341*60+E341)</f>
        <v/>
      </c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</row>
    <row r="342">
      <c r="A342" s="14" t="n"/>
      <c r="B342" s="14" t="n"/>
      <c r="C342" s="21">
        <f>IF(B342="","",IFERROR(INDEX(Listas!$B$2:$B$14,MATCH(B342,Listas!$A$2:$A$14,0)),"?"))</f>
        <v/>
      </c>
      <c r="D342" s="14" t="n"/>
      <c r="E342" s="14" t="n"/>
      <c r="F342" s="21">
        <f>IF(AND(D342="",E342=""),"",D342*60+E342)</f>
        <v/>
      </c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</row>
    <row r="343">
      <c r="A343" s="14" t="n"/>
      <c r="B343" s="14" t="n"/>
      <c r="C343" s="21">
        <f>IF(B343="","",IFERROR(INDEX(Listas!$B$2:$B$14,MATCH(B343,Listas!$A$2:$A$14,0)),"?"))</f>
        <v/>
      </c>
      <c r="D343" s="14" t="n"/>
      <c r="E343" s="14" t="n"/>
      <c r="F343" s="21">
        <f>IF(AND(D343="",E343=""),"",D343*60+E343)</f>
        <v/>
      </c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</row>
    <row r="344">
      <c r="A344" s="14" t="n"/>
      <c r="B344" s="14" t="n"/>
      <c r="C344" s="21">
        <f>IF(B344="","",IFERROR(INDEX(Listas!$B$2:$B$14,MATCH(B344,Listas!$A$2:$A$14,0)),"?"))</f>
        <v/>
      </c>
      <c r="D344" s="14" t="n"/>
      <c r="E344" s="14" t="n"/>
      <c r="F344" s="21">
        <f>IF(AND(D344="",E344=""),"",D344*60+E344)</f>
        <v/>
      </c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</row>
    <row r="345">
      <c r="A345" s="14" t="n"/>
      <c r="B345" s="14" t="n"/>
      <c r="C345" s="21">
        <f>IF(B345="","",IFERROR(INDEX(Listas!$B$2:$B$14,MATCH(B345,Listas!$A$2:$A$14,0)),"?"))</f>
        <v/>
      </c>
      <c r="D345" s="14" t="n"/>
      <c r="E345" s="14" t="n"/>
      <c r="F345" s="21">
        <f>IF(AND(D345="",E345=""),"",D345*60+E345)</f>
        <v/>
      </c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</row>
    <row r="346">
      <c r="A346" s="14" t="n"/>
      <c r="B346" s="14" t="n"/>
      <c r="C346" s="21">
        <f>IF(B346="","",IFERROR(INDEX(Listas!$B$2:$B$14,MATCH(B346,Listas!$A$2:$A$14,0)),"?"))</f>
        <v/>
      </c>
      <c r="D346" s="14" t="n"/>
      <c r="E346" s="14" t="n"/>
      <c r="F346" s="21">
        <f>IF(AND(D346="",E346=""),"",D346*60+E346)</f>
        <v/>
      </c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</row>
    <row r="347">
      <c r="A347" s="14" t="n"/>
      <c r="B347" s="14" t="n"/>
      <c r="C347" s="21">
        <f>IF(B347="","",IFERROR(INDEX(Listas!$B$2:$B$14,MATCH(B347,Listas!$A$2:$A$14,0)),"?"))</f>
        <v/>
      </c>
      <c r="D347" s="14" t="n"/>
      <c r="E347" s="14" t="n"/>
      <c r="F347" s="21">
        <f>IF(AND(D347="",E347=""),"",D347*60+E347)</f>
        <v/>
      </c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</row>
    <row r="348">
      <c r="A348" s="14" t="n"/>
      <c r="B348" s="14" t="n"/>
      <c r="C348" s="21">
        <f>IF(B348="","",IFERROR(INDEX(Listas!$B$2:$B$14,MATCH(B348,Listas!$A$2:$A$14,0)),"?"))</f>
        <v/>
      </c>
      <c r="D348" s="14" t="n"/>
      <c r="E348" s="14" t="n"/>
      <c r="F348" s="21">
        <f>IF(AND(D348="",E348=""),"",D348*60+E348)</f>
        <v/>
      </c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</row>
    <row r="349">
      <c r="A349" s="14" t="n"/>
      <c r="B349" s="14" t="n"/>
      <c r="C349" s="21">
        <f>IF(B349="","",IFERROR(INDEX(Listas!$B$2:$B$14,MATCH(B349,Listas!$A$2:$A$14,0)),"?"))</f>
        <v/>
      </c>
      <c r="D349" s="14" t="n"/>
      <c r="E349" s="14" t="n"/>
      <c r="F349" s="21">
        <f>IF(AND(D349="",E349=""),"",D349*60+E349)</f>
        <v/>
      </c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</row>
    <row r="350">
      <c r="A350" s="14" t="n"/>
      <c r="B350" s="14" t="n"/>
      <c r="C350" s="21">
        <f>IF(B350="","",IFERROR(INDEX(Listas!$B$2:$B$14,MATCH(B350,Listas!$A$2:$A$14,0)),"?"))</f>
        <v/>
      </c>
      <c r="D350" s="14" t="n"/>
      <c r="E350" s="14" t="n"/>
      <c r="F350" s="21">
        <f>IF(AND(D350="",E350=""),"",D350*60+E350)</f>
        <v/>
      </c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</row>
    <row r="351">
      <c r="A351" s="14" t="n"/>
      <c r="B351" s="14" t="n"/>
      <c r="C351" s="21">
        <f>IF(B351="","",IFERROR(INDEX(Listas!$B$2:$B$14,MATCH(B351,Listas!$A$2:$A$14,0)),"?"))</f>
        <v/>
      </c>
      <c r="D351" s="14" t="n"/>
      <c r="E351" s="14" t="n"/>
      <c r="F351" s="21">
        <f>IF(AND(D351="",E351=""),"",D351*60+E351)</f>
        <v/>
      </c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</row>
    <row r="352">
      <c r="A352" s="14" t="n"/>
      <c r="B352" s="14" t="n"/>
      <c r="C352" s="21">
        <f>IF(B352="","",IFERROR(INDEX(Listas!$B$2:$B$14,MATCH(B352,Listas!$A$2:$A$14,0)),"?"))</f>
        <v/>
      </c>
      <c r="D352" s="14" t="n"/>
      <c r="E352" s="14" t="n"/>
      <c r="F352" s="21">
        <f>IF(AND(D352="",E352=""),"",D352*60+E352)</f>
        <v/>
      </c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</row>
    <row r="353">
      <c r="A353" s="14" t="n"/>
      <c r="B353" s="14" t="n"/>
      <c r="C353" s="21">
        <f>IF(B353="","",IFERROR(INDEX(Listas!$B$2:$B$14,MATCH(B353,Listas!$A$2:$A$14,0)),"?"))</f>
        <v/>
      </c>
      <c r="D353" s="14" t="n"/>
      <c r="E353" s="14" t="n"/>
      <c r="F353" s="21">
        <f>IF(AND(D353="",E353=""),"",D353*60+E353)</f>
        <v/>
      </c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</row>
    <row r="354">
      <c r="A354" s="14" t="n"/>
      <c r="B354" s="14" t="n"/>
      <c r="C354" s="21">
        <f>IF(B354="","",IFERROR(INDEX(Listas!$B$2:$B$14,MATCH(B354,Listas!$A$2:$A$14,0)),"?"))</f>
        <v/>
      </c>
      <c r="D354" s="14" t="n"/>
      <c r="E354" s="14" t="n"/>
      <c r="F354" s="21">
        <f>IF(AND(D354="",E354=""),"",D354*60+E354)</f>
        <v/>
      </c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</row>
    <row r="355">
      <c r="A355" s="14" t="n"/>
      <c r="B355" s="14" t="n"/>
      <c r="C355" s="21">
        <f>IF(B355="","",IFERROR(INDEX(Listas!$B$2:$B$14,MATCH(B355,Listas!$A$2:$A$14,0)),"?"))</f>
        <v/>
      </c>
      <c r="D355" s="14" t="n"/>
      <c r="E355" s="14" t="n"/>
      <c r="F355" s="21">
        <f>IF(AND(D355="",E355=""),"",D355*60+E355)</f>
        <v/>
      </c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</row>
    <row r="356">
      <c r="A356" s="14" t="n"/>
      <c r="B356" s="14" t="n"/>
      <c r="C356" s="21">
        <f>IF(B356="","",IFERROR(INDEX(Listas!$B$2:$B$14,MATCH(B356,Listas!$A$2:$A$14,0)),"?"))</f>
        <v/>
      </c>
      <c r="D356" s="14" t="n"/>
      <c r="E356" s="14" t="n"/>
      <c r="F356" s="21">
        <f>IF(AND(D356="",E356=""),"",D356*60+E356)</f>
        <v/>
      </c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</row>
    <row r="357">
      <c r="A357" s="14" t="n"/>
      <c r="B357" s="14" t="n"/>
      <c r="C357" s="21">
        <f>IF(B357="","",IFERROR(INDEX(Listas!$B$2:$B$14,MATCH(B357,Listas!$A$2:$A$14,0)),"?"))</f>
        <v/>
      </c>
      <c r="D357" s="14" t="n"/>
      <c r="E357" s="14" t="n"/>
      <c r="F357" s="21">
        <f>IF(AND(D357="",E357=""),"",D357*60+E357)</f>
        <v/>
      </c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</row>
    <row r="358">
      <c r="A358" s="14" t="n"/>
      <c r="B358" s="14" t="n"/>
      <c r="C358" s="21">
        <f>IF(B358="","",IFERROR(INDEX(Listas!$B$2:$B$14,MATCH(B358,Listas!$A$2:$A$14,0)),"?"))</f>
        <v/>
      </c>
      <c r="D358" s="14" t="n"/>
      <c r="E358" s="14" t="n"/>
      <c r="F358" s="21">
        <f>IF(AND(D358="",E358=""),"",D358*60+E358)</f>
        <v/>
      </c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</row>
    <row r="359">
      <c r="A359" s="14" t="n"/>
      <c r="B359" s="14" t="n"/>
      <c r="C359" s="21">
        <f>IF(B359="","",IFERROR(INDEX(Listas!$B$2:$B$14,MATCH(B359,Listas!$A$2:$A$14,0)),"?"))</f>
        <v/>
      </c>
      <c r="D359" s="14" t="n"/>
      <c r="E359" s="14" t="n"/>
      <c r="F359" s="21">
        <f>IF(AND(D359="",E359=""),"",D359*60+E359)</f>
        <v/>
      </c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</row>
    <row r="360">
      <c r="A360" s="14" t="n"/>
      <c r="B360" s="14" t="n"/>
      <c r="C360" s="21">
        <f>IF(B360="","",IFERROR(INDEX(Listas!$B$2:$B$14,MATCH(B360,Listas!$A$2:$A$14,0)),"?"))</f>
        <v/>
      </c>
      <c r="D360" s="14" t="n"/>
      <c r="E360" s="14" t="n"/>
      <c r="F360" s="21">
        <f>IF(AND(D360="",E360=""),"",D360*60+E360)</f>
        <v/>
      </c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</row>
    <row r="361">
      <c r="A361" s="14" t="n"/>
      <c r="B361" s="14" t="n"/>
      <c r="C361" s="21">
        <f>IF(B361="","",IFERROR(INDEX(Listas!$B$2:$B$14,MATCH(B361,Listas!$A$2:$A$14,0)),"?"))</f>
        <v/>
      </c>
      <c r="D361" s="14" t="n"/>
      <c r="E361" s="14" t="n"/>
      <c r="F361" s="21">
        <f>IF(AND(D361="",E361=""),"",D361*60+E361)</f>
        <v/>
      </c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</row>
    <row r="362">
      <c r="A362" s="14" t="n"/>
      <c r="B362" s="14" t="n"/>
      <c r="C362" s="21">
        <f>IF(B362="","",IFERROR(INDEX(Listas!$B$2:$B$14,MATCH(B362,Listas!$A$2:$A$14,0)),"?"))</f>
        <v/>
      </c>
      <c r="D362" s="14" t="n"/>
      <c r="E362" s="14" t="n"/>
      <c r="F362" s="21">
        <f>IF(AND(D362="",E362=""),"",D362*60+E362)</f>
        <v/>
      </c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</row>
    <row r="363">
      <c r="A363" s="14" t="n"/>
      <c r="B363" s="14" t="n"/>
      <c r="C363" s="21">
        <f>IF(B363="","",IFERROR(INDEX(Listas!$B$2:$B$14,MATCH(B363,Listas!$A$2:$A$14,0)),"?"))</f>
        <v/>
      </c>
      <c r="D363" s="14" t="n"/>
      <c r="E363" s="14" t="n"/>
      <c r="F363" s="21">
        <f>IF(AND(D363="",E363=""),"",D363*60+E363)</f>
        <v/>
      </c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</row>
    <row r="364">
      <c r="A364" s="14" t="n"/>
      <c r="B364" s="14" t="n"/>
      <c r="C364" s="21">
        <f>IF(B364="","",IFERROR(INDEX(Listas!$B$2:$B$14,MATCH(B364,Listas!$A$2:$A$14,0)),"?"))</f>
        <v/>
      </c>
      <c r="D364" s="14" t="n"/>
      <c r="E364" s="14" t="n"/>
      <c r="F364" s="21">
        <f>IF(AND(D364="",E364=""),"",D364*60+E364)</f>
        <v/>
      </c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</row>
    <row r="365">
      <c r="A365" s="14" t="n"/>
      <c r="B365" s="14" t="n"/>
      <c r="C365" s="21">
        <f>IF(B365="","",IFERROR(INDEX(Listas!$B$2:$B$14,MATCH(B365,Listas!$A$2:$A$14,0)),"?"))</f>
        <v/>
      </c>
      <c r="D365" s="14" t="n"/>
      <c r="E365" s="14" t="n"/>
      <c r="F365" s="21">
        <f>IF(AND(D365="",E365=""),"",D365*60+E365)</f>
        <v/>
      </c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</row>
    <row r="366">
      <c r="A366" s="14" t="n"/>
      <c r="B366" s="14" t="n"/>
      <c r="C366" s="21">
        <f>IF(B366="","",IFERROR(INDEX(Listas!$B$2:$B$14,MATCH(B366,Listas!$A$2:$A$14,0)),"?"))</f>
        <v/>
      </c>
      <c r="D366" s="14" t="n"/>
      <c r="E366" s="14" t="n"/>
      <c r="F366" s="21">
        <f>IF(AND(D366="",E366=""),"",D366*60+E366)</f>
        <v/>
      </c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</row>
    <row r="367">
      <c r="A367" s="14" t="n"/>
      <c r="B367" s="14" t="n"/>
      <c r="C367" s="21">
        <f>IF(B367="","",IFERROR(INDEX(Listas!$B$2:$B$14,MATCH(B367,Listas!$A$2:$A$14,0)),"?"))</f>
        <v/>
      </c>
      <c r="D367" s="14" t="n"/>
      <c r="E367" s="14" t="n"/>
      <c r="F367" s="21">
        <f>IF(AND(D367="",E367=""),"",D367*60+E367)</f>
        <v/>
      </c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</row>
    <row r="368">
      <c r="A368" s="14" t="n"/>
      <c r="B368" s="14" t="n"/>
      <c r="C368" s="21">
        <f>IF(B368="","",IFERROR(INDEX(Listas!$B$2:$B$14,MATCH(B368,Listas!$A$2:$A$14,0)),"?"))</f>
        <v/>
      </c>
      <c r="D368" s="14" t="n"/>
      <c r="E368" s="14" t="n"/>
      <c r="F368" s="21">
        <f>IF(AND(D368="",E368=""),"",D368*60+E368)</f>
        <v/>
      </c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</row>
    <row r="369">
      <c r="A369" s="14" t="n"/>
      <c r="B369" s="14" t="n"/>
      <c r="C369" s="21">
        <f>IF(B369="","",IFERROR(INDEX(Listas!$B$2:$B$14,MATCH(B369,Listas!$A$2:$A$14,0)),"?"))</f>
        <v/>
      </c>
      <c r="D369" s="14" t="n"/>
      <c r="E369" s="14" t="n"/>
      <c r="F369" s="21">
        <f>IF(AND(D369="",E369=""),"",D369*60+E369)</f>
        <v/>
      </c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</row>
    <row r="370">
      <c r="A370" s="14" t="n"/>
      <c r="B370" s="14" t="n"/>
      <c r="C370" s="21">
        <f>IF(B370="","",IFERROR(INDEX(Listas!$B$2:$B$14,MATCH(B370,Listas!$A$2:$A$14,0)),"?"))</f>
        <v/>
      </c>
      <c r="D370" s="14" t="n"/>
      <c r="E370" s="14" t="n"/>
      <c r="F370" s="21">
        <f>IF(AND(D370="",E370=""),"",D370*60+E370)</f>
        <v/>
      </c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</row>
    <row r="371">
      <c r="A371" s="14" t="n"/>
      <c r="B371" s="14" t="n"/>
      <c r="C371" s="21">
        <f>IF(B371="","",IFERROR(INDEX(Listas!$B$2:$B$14,MATCH(B371,Listas!$A$2:$A$14,0)),"?"))</f>
        <v/>
      </c>
      <c r="D371" s="14" t="n"/>
      <c r="E371" s="14" t="n"/>
      <c r="F371" s="21">
        <f>IF(AND(D371="",E371=""),"",D371*60+E371)</f>
        <v/>
      </c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</row>
    <row r="372">
      <c r="A372" s="14" t="n"/>
      <c r="B372" s="14" t="n"/>
      <c r="C372" s="21">
        <f>IF(B372="","",IFERROR(INDEX(Listas!$B$2:$B$14,MATCH(B372,Listas!$A$2:$A$14,0)),"?"))</f>
        <v/>
      </c>
      <c r="D372" s="14" t="n"/>
      <c r="E372" s="14" t="n"/>
      <c r="F372" s="21">
        <f>IF(AND(D372="",E372=""),"",D372*60+E372)</f>
        <v/>
      </c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</row>
    <row r="373">
      <c r="A373" s="14" t="n"/>
      <c r="B373" s="14" t="n"/>
      <c r="C373" s="21">
        <f>IF(B373="","",IFERROR(INDEX(Listas!$B$2:$B$14,MATCH(B373,Listas!$A$2:$A$14,0)),"?"))</f>
        <v/>
      </c>
      <c r="D373" s="14" t="n"/>
      <c r="E373" s="14" t="n"/>
      <c r="F373" s="21">
        <f>IF(AND(D373="",E373=""),"",D373*60+E373)</f>
        <v/>
      </c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</row>
    <row r="374">
      <c r="A374" s="14" t="n"/>
      <c r="B374" s="14" t="n"/>
      <c r="C374" s="21">
        <f>IF(B374="","",IFERROR(INDEX(Listas!$B$2:$B$14,MATCH(B374,Listas!$A$2:$A$14,0)),"?"))</f>
        <v/>
      </c>
      <c r="D374" s="14" t="n"/>
      <c r="E374" s="14" t="n"/>
      <c r="F374" s="21">
        <f>IF(AND(D374="",E374=""),"",D374*60+E374)</f>
        <v/>
      </c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</row>
    <row r="375">
      <c r="A375" s="14" t="n"/>
      <c r="B375" s="14" t="n"/>
      <c r="C375" s="21">
        <f>IF(B375="","",IFERROR(INDEX(Listas!$B$2:$B$14,MATCH(B375,Listas!$A$2:$A$14,0)),"?"))</f>
        <v/>
      </c>
      <c r="D375" s="14" t="n"/>
      <c r="E375" s="14" t="n"/>
      <c r="F375" s="21">
        <f>IF(AND(D375="",E375=""),"",D375*60+E375)</f>
        <v/>
      </c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</row>
    <row r="376">
      <c r="A376" s="14" t="n"/>
      <c r="B376" s="14" t="n"/>
      <c r="C376" s="21">
        <f>IF(B376="","",IFERROR(INDEX(Listas!$B$2:$B$14,MATCH(B376,Listas!$A$2:$A$14,0)),"?"))</f>
        <v/>
      </c>
      <c r="D376" s="14" t="n"/>
      <c r="E376" s="14" t="n"/>
      <c r="F376" s="21">
        <f>IF(AND(D376="",E376=""),"",D376*60+E376)</f>
        <v/>
      </c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</row>
    <row r="377">
      <c r="A377" s="14" t="n"/>
      <c r="B377" s="14" t="n"/>
      <c r="C377" s="21">
        <f>IF(B377="","",IFERROR(INDEX(Listas!$B$2:$B$14,MATCH(B377,Listas!$A$2:$A$14,0)),"?"))</f>
        <v/>
      </c>
      <c r="D377" s="14" t="n"/>
      <c r="E377" s="14" t="n"/>
      <c r="F377" s="21">
        <f>IF(AND(D377="",E377=""),"",D377*60+E377)</f>
        <v/>
      </c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</row>
    <row r="378">
      <c r="A378" s="14" t="n"/>
      <c r="B378" s="14" t="n"/>
      <c r="C378" s="21">
        <f>IF(B378="","",IFERROR(INDEX(Listas!$B$2:$B$14,MATCH(B378,Listas!$A$2:$A$14,0)),"?"))</f>
        <v/>
      </c>
      <c r="D378" s="14" t="n"/>
      <c r="E378" s="14" t="n"/>
      <c r="F378" s="21">
        <f>IF(AND(D378="",E378=""),"",D378*60+E378)</f>
        <v/>
      </c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</row>
    <row r="379">
      <c r="A379" s="14" t="n"/>
      <c r="B379" s="14" t="n"/>
      <c r="C379" s="21">
        <f>IF(B379="","",IFERROR(INDEX(Listas!$B$2:$B$14,MATCH(B379,Listas!$A$2:$A$14,0)),"?"))</f>
        <v/>
      </c>
      <c r="D379" s="14" t="n"/>
      <c r="E379" s="14" t="n"/>
      <c r="F379" s="21">
        <f>IF(AND(D379="",E379=""),"",D379*60+E379)</f>
        <v/>
      </c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</row>
    <row r="380">
      <c r="A380" s="14" t="n"/>
      <c r="B380" s="14" t="n"/>
      <c r="C380" s="21">
        <f>IF(B380="","",IFERROR(INDEX(Listas!$B$2:$B$14,MATCH(B380,Listas!$A$2:$A$14,0)),"?"))</f>
        <v/>
      </c>
      <c r="D380" s="14" t="n"/>
      <c r="E380" s="14" t="n"/>
      <c r="F380" s="21">
        <f>IF(AND(D380="",E380=""),"",D380*60+E380)</f>
        <v/>
      </c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</row>
    <row r="381">
      <c r="A381" s="14" t="n"/>
      <c r="B381" s="14" t="n"/>
      <c r="C381" s="21">
        <f>IF(B381="","",IFERROR(INDEX(Listas!$B$2:$B$14,MATCH(B381,Listas!$A$2:$A$14,0)),"?"))</f>
        <v/>
      </c>
      <c r="D381" s="14" t="n"/>
      <c r="E381" s="14" t="n"/>
      <c r="F381" s="21">
        <f>IF(AND(D381="",E381=""),"",D381*60+E381)</f>
        <v/>
      </c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</row>
    <row r="382">
      <c r="A382" s="14" t="n"/>
      <c r="B382" s="14" t="n"/>
      <c r="C382" s="21">
        <f>IF(B382="","",IFERROR(INDEX(Listas!$B$2:$B$14,MATCH(B382,Listas!$A$2:$A$14,0)),"?"))</f>
        <v/>
      </c>
      <c r="D382" s="14" t="n"/>
      <c r="E382" s="14" t="n"/>
      <c r="F382" s="21">
        <f>IF(AND(D382="",E382=""),"",D382*60+E382)</f>
        <v/>
      </c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</row>
    <row r="383">
      <c r="A383" s="14" t="n"/>
      <c r="B383" s="14" t="n"/>
      <c r="C383" s="21">
        <f>IF(B383="","",IFERROR(INDEX(Listas!$B$2:$B$14,MATCH(B383,Listas!$A$2:$A$14,0)),"?"))</f>
        <v/>
      </c>
      <c r="D383" s="14" t="n"/>
      <c r="E383" s="14" t="n"/>
      <c r="F383" s="21">
        <f>IF(AND(D383="",E383=""),"",D383*60+E383)</f>
        <v/>
      </c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</row>
    <row r="384">
      <c r="A384" s="14" t="n"/>
      <c r="B384" s="14" t="n"/>
      <c r="C384" s="21">
        <f>IF(B384="","",IFERROR(INDEX(Listas!$B$2:$B$14,MATCH(B384,Listas!$A$2:$A$14,0)),"?"))</f>
        <v/>
      </c>
      <c r="D384" s="14" t="n"/>
      <c r="E384" s="14" t="n"/>
      <c r="F384" s="21">
        <f>IF(AND(D384="",E384=""),"",D384*60+E384)</f>
        <v/>
      </c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</row>
    <row r="385">
      <c r="A385" s="14" t="n"/>
      <c r="B385" s="14" t="n"/>
      <c r="C385" s="21">
        <f>IF(B385="","",IFERROR(INDEX(Listas!$B$2:$B$14,MATCH(B385,Listas!$A$2:$A$14,0)),"?"))</f>
        <v/>
      </c>
      <c r="D385" s="14" t="n"/>
      <c r="E385" s="14" t="n"/>
      <c r="F385" s="21">
        <f>IF(AND(D385="",E385=""),"",D385*60+E385)</f>
        <v/>
      </c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</row>
    <row r="386">
      <c r="A386" s="14" t="n"/>
      <c r="B386" s="14" t="n"/>
      <c r="C386" s="21">
        <f>IF(B386="","",IFERROR(INDEX(Listas!$B$2:$B$14,MATCH(B386,Listas!$A$2:$A$14,0)),"?"))</f>
        <v/>
      </c>
      <c r="D386" s="14" t="n"/>
      <c r="E386" s="14" t="n"/>
      <c r="F386" s="21">
        <f>IF(AND(D386="",E386=""),"",D386*60+E386)</f>
        <v/>
      </c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</row>
    <row r="387">
      <c r="A387" s="14" t="n"/>
      <c r="B387" s="14" t="n"/>
      <c r="C387" s="21">
        <f>IF(B387="","",IFERROR(INDEX(Listas!$B$2:$B$14,MATCH(B387,Listas!$A$2:$A$14,0)),"?"))</f>
        <v/>
      </c>
      <c r="D387" s="14" t="n"/>
      <c r="E387" s="14" t="n"/>
      <c r="F387" s="21">
        <f>IF(AND(D387="",E387=""),"",D387*60+E387)</f>
        <v/>
      </c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</row>
    <row r="388">
      <c r="A388" s="14" t="n"/>
      <c r="B388" s="14" t="n"/>
      <c r="C388" s="21">
        <f>IF(B388="","",IFERROR(INDEX(Listas!$B$2:$B$14,MATCH(B388,Listas!$A$2:$A$14,0)),"?"))</f>
        <v/>
      </c>
      <c r="D388" s="14" t="n"/>
      <c r="E388" s="14" t="n"/>
      <c r="F388" s="21">
        <f>IF(AND(D388="",E388=""),"",D388*60+E388)</f>
        <v/>
      </c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</row>
    <row r="389">
      <c r="A389" s="14" t="n"/>
      <c r="B389" s="14" t="n"/>
      <c r="C389" s="21">
        <f>IF(B389="","",IFERROR(INDEX(Listas!$B$2:$B$14,MATCH(B389,Listas!$A$2:$A$14,0)),"?"))</f>
        <v/>
      </c>
      <c r="D389" s="14" t="n"/>
      <c r="E389" s="14" t="n"/>
      <c r="F389" s="21">
        <f>IF(AND(D389="",E389=""),"",D389*60+E389)</f>
        <v/>
      </c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</row>
    <row r="390">
      <c r="A390" s="14" t="n"/>
      <c r="B390" s="14" t="n"/>
      <c r="C390" s="21">
        <f>IF(B390="","",IFERROR(INDEX(Listas!$B$2:$B$14,MATCH(B390,Listas!$A$2:$A$14,0)),"?"))</f>
        <v/>
      </c>
      <c r="D390" s="14" t="n"/>
      <c r="E390" s="14" t="n"/>
      <c r="F390" s="21">
        <f>IF(AND(D390="",E390=""),"",D390*60+E390)</f>
        <v/>
      </c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</row>
    <row r="391">
      <c r="A391" s="14" t="n"/>
      <c r="B391" s="14" t="n"/>
      <c r="C391" s="21">
        <f>IF(B391="","",IFERROR(INDEX(Listas!$B$2:$B$14,MATCH(B391,Listas!$A$2:$A$14,0)),"?"))</f>
        <v/>
      </c>
      <c r="D391" s="14" t="n"/>
      <c r="E391" s="14" t="n"/>
      <c r="F391" s="21">
        <f>IF(AND(D391="",E391=""),"",D391*60+E391)</f>
        <v/>
      </c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</row>
    <row r="392">
      <c r="A392" s="14" t="n"/>
      <c r="B392" s="14" t="n"/>
      <c r="C392" s="21">
        <f>IF(B392="","",IFERROR(INDEX(Listas!$B$2:$B$14,MATCH(B392,Listas!$A$2:$A$14,0)),"?"))</f>
        <v/>
      </c>
      <c r="D392" s="14" t="n"/>
      <c r="E392" s="14" t="n"/>
      <c r="F392" s="21">
        <f>IF(AND(D392="",E392=""),"",D392*60+E392)</f>
        <v/>
      </c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</row>
    <row r="393">
      <c r="A393" s="14" t="n"/>
      <c r="B393" s="14" t="n"/>
      <c r="C393" s="21">
        <f>IF(B393="","",IFERROR(INDEX(Listas!$B$2:$B$14,MATCH(B393,Listas!$A$2:$A$14,0)),"?"))</f>
        <v/>
      </c>
      <c r="D393" s="14" t="n"/>
      <c r="E393" s="14" t="n"/>
      <c r="F393" s="21">
        <f>IF(AND(D393="",E393=""),"",D393*60+E393)</f>
        <v/>
      </c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</row>
    <row r="394">
      <c r="A394" s="14" t="n"/>
      <c r="B394" s="14" t="n"/>
      <c r="C394" s="21">
        <f>IF(B394="","",IFERROR(INDEX(Listas!$B$2:$B$14,MATCH(B394,Listas!$A$2:$A$14,0)),"?"))</f>
        <v/>
      </c>
      <c r="D394" s="14" t="n"/>
      <c r="E394" s="14" t="n"/>
      <c r="F394" s="21">
        <f>IF(AND(D394="",E394=""),"",D394*60+E394)</f>
        <v/>
      </c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</row>
    <row r="395">
      <c r="A395" s="14" t="n"/>
      <c r="B395" s="14" t="n"/>
      <c r="C395" s="21">
        <f>IF(B395="","",IFERROR(INDEX(Listas!$B$2:$B$14,MATCH(B395,Listas!$A$2:$A$14,0)),"?"))</f>
        <v/>
      </c>
      <c r="D395" s="14" t="n"/>
      <c r="E395" s="14" t="n"/>
      <c r="F395" s="21">
        <f>IF(AND(D395="",E395=""),"",D395*60+E395)</f>
        <v/>
      </c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</row>
    <row r="396">
      <c r="A396" s="14" t="n"/>
      <c r="B396" s="14" t="n"/>
      <c r="C396" s="21">
        <f>IF(B396="","",IFERROR(INDEX(Listas!$B$2:$B$14,MATCH(B396,Listas!$A$2:$A$14,0)),"?"))</f>
        <v/>
      </c>
      <c r="D396" s="14" t="n"/>
      <c r="E396" s="14" t="n"/>
      <c r="F396" s="21">
        <f>IF(AND(D396="",E396=""),"",D396*60+E396)</f>
        <v/>
      </c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</row>
    <row r="397">
      <c r="A397" s="14" t="n"/>
      <c r="B397" s="14" t="n"/>
      <c r="C397" s="21">
        <f>IF(B397="","",IFERROR(INDEX(Listas!$B$2:$B$14,MATCH(B397,Listas!$A$2:$A$14,0)),"?"))</f>
        <v/>
      </c>
      <c r="D397" s="14" t="n"/>
      <c r="E397" s="14" t="n"/>
      <c r="F397" s="21">
        <f>IF(AND(D397="",E397=""),"",D397*60+E397)</f>
        <v/>
      </c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</row>
    <row r="398">
      <c r="A398" s="14" t="n"/>
      <c r="B398" s="14" t="n"/>
      <c r="C398" s="21">
        <f>IF(B398="","",IFERROR(INDEX(Listas!$B$2:$B$14,MATCH(B398,Listas!$A$2:$A$14,0)),"?"))</f>
        <v/>
      </c>
      <c r="D398" s="14" t="n"/>
      <c r="E398" s="14" t="n"/>
      <c r="F398" s="21">
        <f>IF(AND(D398="",E398=""),"",D398*60+E398)</f>
        <v/>
      </c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</row>
    <row r="399">
      <c r="A399" s="14" t="n"/>
      <c r="B399" s="14" t="n"/>
      <c r="C399" s="21">
        <f>IF(B399="","",IFERROR(INDEX(Listas!$B$2:$B$14,MATCH(B399,Listas!$A$2:$A$14,0)),"?"))</f>
        <v/>
      </c>
      <c r="D399" s="14" t="n"/>
      <c r="E399" s="14" t="n"/>
      <c r="F399" s="21">
        <f>IF(AND(D399="",E399=""),"",D399*60+E399)</f>
        <v/>
      </c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</row>
    <row r="400">
      <c r="A400" s="14" t="n"/>
      <c r="B400" s="14" t="n"/>
      <c r="C400" s="21">
        <f>IF(B400="","",IFERROR(INDEX(Listas!$B$2:$B$14,MATCH(B400,Listas!$A$2:$A$14,0)),"?"))</f>
        <v/>
      </c>
      <c r="D400" s="14" t="n"/>
      <c r="E400" s="14" t="n"/>
      <c r="F400" s="21">
        <f>IF(AND(D400="",E400=""),"",D400*60+E400)</f>
        <v/>
      </c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</row>
    <row r="401">
      <c r="A401" s="14" t="n"/>
      <c r="B401" s="14" t="n"/>
      <c r="C401" s="21">
        <f>IF(B401="","",IFERROR(INDEX(Listas!$B$2:$B$14,MATCH(B401,Listas!$A$2:$A$14,0)),"?"))</f>
        <v/>
      </c>
      <c r="D401" s="14" t="n"/>
      <c r="E401" s="14" t="n"/>
      <c r="F401" s="21">
        <f>IF(AND(D401="",E401=""),"",D401*60+E401)</f>
        <v/>
      </c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</row>
    <row r="402">
      <c r="A402" s="14" t="n"/>
      <c r="B402" s="14" t="n"/>
      <c r="C402" s="21">
        <f>IF(B402="","",IFERROR(INDEX(Listas!$B$2:$B$14,MATCH(B402,Listas!$A$2:$A$14,0)),"?"))</f>
        <v/>
      </c>
      <c r="D402" s="14" t="n"/>
      <c r="E402" s="14" t="n"/>
      <c r="F402" s="21">
        <f>IF(AND(D402="",E402=""),"",D402*60+E402)</f>
        <v/>
      </c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</row>
    <row r="403">
      <c r="A403" s="14" t="n"/>
      <c r="B403" s="14" t="n"/>
      <c r="C403" s="21">
        <f>IF(B403="","",IFERROR(INDEX(Listas!$B$2:$B$14,MATCH(B403,Listas!$A$2:$A$14,0)),"?"))</f>
        <v/>
      </c>
      <c r="D403" s="14" t="n"/>
      <c r="E403" s="14" t="n"/>
      <c r="F403" s="21">
        <f>IF(AND(D403="",E403=""),"",D403*60+E403)</f>
        <v/>
      </c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</row>
    <row r="404">
      <c r="A404" s="14" t="n"/>
      <c r="B404" s="14" t="n"/>
      <c r="C404" s="21">
        <f>IF(B404="","",IFERROR(INDEX(Listas!$B$2:$B$14,MATCH(B404,Listas!$A$2:$A$14,0)),"?"))</f>
        <v/>
      </c>
      <c r="D404" s="14" t="n"/>
      <c r="E404" s="14" t="n"/>
      <c r="F404" s="21">
        <f>IF(AND(D404="",E404=""),"",D404*60+E404)</f>
        <v/>
      </c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</row>
    <row r="405">
      <c r="A405" s="14" t="n"/>
      <c r="B405" s="14" t="n"/>
      <c r="C405" s="21">
        <f>IF(B405="","",IFERROR(INDEX(Listas!$B$2:$B$14,MATCH(B405,Listas!$A$2:$A$14,0)),"?"))</f>
        <v/>
      </c>
      <c r="D405" s="14" t="n"/>
      <c r="E405" s="14" t="n"/>
      <c r="F405" s="21">
        <f>IF(AND(D405="",E405=""),"",D405*60+E405)</f>
        <v/>
      </c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</row>
    <row r="406">
      <c r="A406" s="14" t="n"/>
      <c r="B406" s="14" t="n"/>
      <c r="C406" s="21">
        <f>IF(B406="","",IFERROR(INDEX(Listas!$B$2:$B$14,MATCH(B406,Listas!$A$2:$A$14,0)),"?"))</f>
        <v/>
      </c>
      <c r="D406" s="14" t="n"/>
      <c r="E406" s="14" t="n"/>
      <c r="F406" s="21">
        <f>IF(AND(D406="",E406=""),"",D406*60+E406)</f>
        <v/>
      </c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</row>
    <row r="407">
      <c r="A407" s="14" t="n"/>
      <c r="B407" s="14" t="n"/>
      <c r="C407" s="21">
        <f>IF(B407="","",IFERROR(INDEX(Listas!$B$2:$B$14,MATCH(B407,Listas!$A$2:$A$14,0)),"?"))</f>
        <v/>
      </c>
      <c r="D407" s="14" t="n"/>
      <c r="E407" s="14" t="n"/>
      <c r="F407" s="21">
        <f>IF(AND(D407="",E407=""),"",D407*60+E407)</f>
        <v/>
      </c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</row>
    <row r="408">
      <c r="A408" s="14" t="n"/>
      <c r="B408" s="14" t="n"/>
      <c r="C408" s="21">
        <f>IF(B408="","",IFERROR(INDEX(Listas!$B$2:$B$14,MATCH(B408,Listas!$A$2:$A$14,0)),"?"))</f>
        <v/>
      </c>
      <c r="D408" s="14" t="n"/>
      <c r="E408" s="14" t="n"/>
      <c r="F408" s="21">
        <f>IF(AND(D408="",E408=""),"",D408*60+E408)</f>
        <v/>
      </c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</row>
    <row r="409">
      <c r="A409" s="14" t="n"/>
      <c r="B409" s="14" t="n"/>
      <c r="C409" s="21">
        <f>IF(B409="","",IFERROR(INDEX(Listas!$B$2:$B$14,MATCH(B409,Listas!$A$2:$A$14,0)),"?"))</f>
        <v/>
      </c>
      <c r="D409" s="14" t="n"/>
      <c r="E409" s="14" t="n"/>
      <c r="F409" s="21">
        <f>IF(AND(D409="",E409=""),"",D409*60+E409)</f>
        <v/>
      </c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</row>
    <row r="410">
      <c r="A410" s="14" t="n"/>
      <c r="B410" s="14" t="n"/>
      <c r="C410" s="21">
        <f>IF(B410="","",IFERROR(INDEX(Listas!$B$2:$B$14,MATCH(B410,Listas!$A$2:$A$14,0)),"?"))</f>
        <v/>
      </c>
      <c r="D410" s="14" t="n"/>
      <c r="E410" s="14" t="n"/>
      <c r="F410" s="21">
        <f>IF(AND(D410="",E410=""),"",D410*60+E410)</f>
        <v/>
      </c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</row>
    <row r="411">
      <c r="A411" s="14" t="n"/>
      <c r="B411" s="14" t="n"/>
      <c r="C411" s="21">
        <f>IF(B411="","",IFERROR(INDEX(Listas!$B$2:$B$14,MATCH(B411,Listas!$A$2:$A$14,0)),"?"))</f>
        <v/>
      </c>
      <c r="D411" s="14" t="n"/>
      <c r="E411" s="14" t="n"/>
      <c r="F411" s="21">
        <f>IF(AND(D411="",E411=""),"",D411*60+E411)</f>
        <v/>
      </c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</row>
    <row r="412">
      <c r="A412" s="14" t="n"/>
      <c r="B412" s="14" t="n"/>
      <c r="C412" s="21">
        <f>IF(B412="","",IFERROR(INDEX(Listas!$B$2:$B$14,MATCH(B412,Listas!$A$2:$A$14,0)),"?"))</f>
        <v/>
      </c>
      <c r="D412" s="14" t="n"/>
      <c r="E412" s="14" t="n"/>
      <c r="F412" s="21">
        <f>IF(AND(D412="",E412=""),"",D412*60+E412)</f>
        <v/>
      </c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</row>
    <row r="413">
      <c r="A413" s="14" t="n"/>
      <c r="B413" s="14" t="n"/>
      <c r="C413" s="21">
        <f>IF(B413="","",IFERROR(INDEX(Listas!$B$2:$B$14,MATCH(B413,Listas!$A$2:$A$14,0)),"?"))</f>
        <v/>
      </c>
      <c r="D413" s="14" t="n"/>
      <c r="E413" s="14" t="n"/>
      <c r="F413" s="21">
        <f>IF(AND(D413="",E413=""),"",D413*60+E413)</f>
        <v/>
      </c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</row>
    <row r="414">
      <c r="A414" s="14" t="n"/>
      <c r="B414" s="14" t="n"/>
      <c r="C414" s="21">
        <f>IF(B414="","",IFERROR(INDEX(Listas!$B$2:$B$14,MATCH(B414,Listas!$A$2:$A$14,0)),"?"))</f>
        <v/>
      </c>
      <c r="D414" s="14" t="n"/>
      <c r="E414" s="14" t="n"/>
      <c r="F414" s="21">
        <f>IF(AND(D414="",E414=""),"",D414*60+E414)</f>
        <v/>
      </c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</row>
    <row r="415">
      <c r="A415" s="14" t="n"/>
      <c r="B415" s="14" t="n"/>
      <c r="C415" s="21">
        <f>IF(B415="","",IFERROR(INDEX(Listas!$B$2:$B$14,MATCH(B415,Listas!$A$2:$A$14,0)),"?"))</f>
        <v/>
      </c>
      <c r="D415" s="14" t="n"/>
      <c r="E415" s="14" t="n"/>
      <c r="F415" s="21">
        <f>IF(AND(D415="",E415=""),"",D415*60+E415)</f>
        <v/>
      </c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</row>
    <row r="416">
      <c r="A416" s="14" t="n"/>
      <c r="B416" s="14" t="n"/>
      <c r="C416" s="21">
        <f>IF(B416="","",IFERROR(INDEX(Listas!$B$2:$B$14,MATCH(B416,Listas!$A$2:$A$14,0)),"?"))</f>
        <v/>
      </c>
      <c r="D416" s="14" t="n"/>
      <c r="E416" s="14" t="n"/>
      <c r="F416" s="21">
        <f>IF(AND(D416="",E416=""),"",D416*60+E416)</f>
        <v/>
      </c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</row>
    <row r="417">
      <c r="A417" s="14" t="n"/>
      <c r="B417" s="14" t="n"/>
      <c r="C417" s="21">
        <f>IF(B417="","",IFERROR(INDEX(Listas!$B$2:$B$14,MATCH(B417,Listas!$A$2:$A$14,0)),"?"))</f>
        <v/>
      </c>
      <c r="D417" s="14" t="n"/>
      <c r="E417" s="14" t="n"/>
      <c r="F417" s="21">
        <f>IF(AND(D417="",E417=""),"",D417*60+E417)</f>
        <v/>
      </c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</row>
    <row r="418">
      <c r="A418" s="14" t="n"/>
      <c r="B418" s="14" t="n"/>
      <c r="C418" s="21">
        <f>IF(B418="","",IFERROR(INDEX(Listas!$B$2:$B$14,MATCH(B418,Listas!$A$2:$A$14,0)),"?"))</f>
        <v/>
      </c>
      <c r="D418" s="14" t="n"/>
      <c r="E418" s="14" t="n"/>
      <c r="F418" s="21">
        <f>IF(AND(D418="",E418=""),"",D418*60+E418)</f>
        <v/>
      </c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</row>
    <row r="419">
      <c r="A419" s="14" t="n"/>
      <c r="B419" s="14" t="n"/>
      <c r="C419" s="21">
        <f>IF(B419="","",IFERROR(INDEX(Listas!$B$2:$B$14,MATCH(B419,Listas!$A$2:$A$14,0)),"?"))</f>
        <v/>
      </c>
      <c r="D419" s="14" t="n"/>
      <c r="E419" s="14" t="n"/>
      <c r="F419" s="21">
        <f>IF(AND(D419="",E419=""),"",D419*60+E419)</f>
        <v/>
      </c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</row>
    <row r="420">
      <c r="A420" s="14" t="n"/>
      <c r="B420" s="14" t="n"/>
      <c r="C420" s="21">
        <f>IF(B420="","",IFERROR(INDEX(Listas!$B$2:$B$14,MATCH(B420,Listas!$A$2:$A$14,0)),"?"))</f>
        <v/>
      </c>
      <c r="D420" s="14" t="n"/>
      <c r="E420" s="14" t="n"/>
      <c r="F420" s="21">
        <f>IF(AND(D420="",E420=""),"",D420*60+E420)</f>
        <v/>
      </c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</row>
    <row r="421">
      <c r="A421" s="14" t="n"/>
      <c r="B421" s="14" t="n"/>
      <c r="C421" s="21">
        <f>IF(B421="","",IFERROR(INDEX(Listas!$B$2:$B$14,MATCH(B421,Listas!$A$2:$A$14,0)),"?"))</f>
        <v/>
      </c>
      <c r="D421" s="14" t="n"/>
      <c r="E421" s="14" t="n"/>
      <c r="F421" s="21">
        <f>IF(AND(D421="",E421=""),"",D421*60+E421)</f>
        <v/>
      </c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</row>
    <row r="422">
      <c r="A422" s="14" t="n"/>
      <c r="B422" s="14" t="n"/>
      <c r="C422" s="21">
        <f>IF(B422="","",IFERROR(INDEX(Listas!$B$2:$B$14,MATCH(B422,Listas!$A$2:$A$14,0)),"?"))</f>
        <v/>
      </c>
      <c r="D422" s="14" t="n"/>
      <c r="E422" s="14" t="n"/>
      <c r="F422" s="21">
        <f>IF(AND(D422="",E422=""),"",D422*60+E422)</f>
        <v/>
      </c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</row>
    <row r="423">
      <c r="A423" s="14" t="n"/>
      <c r="B423" s="14" t="n"/>
      <c r="C423" s="21">
        <f>IF(B423="","",IFERROR(INDEX(Listas!$B$2:$B$14,MATCH(B423,Listas!$A$2:$A$14,0)),"?"))</f>
        <v/>
      </c>
      <c r="D423" s="14" t="n"/>
      <c r="E423" s="14" t="n"/>
      <c r="F423" s="21">
        <f>IF(AND(D423="",E423=""),"",D423*60+E423)</f>
        <v/>
      </c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</row>
    <row r="424">
      <c r="A424" s="14" t="n"/>
      <c r="B424" s="14" t="n"/>
      <c r="C424" s="21">
        <f>IF(B424="","",IFERROR(INDEX(Listas!$B$2:$B$14,MATCH(B424,Listas!$A$2:$A$14,0)),"?"))</f>
        <v/>
      </c>
      <c r="D424" s="14" t="n"/>
      <c r="E424" s="14" t="n"/>
      <c r="F424" s="21">
        <f>IF(AND(D424="",E424=""),"",D424*60+E424)</f>
        <v/>
      </c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</row>
    <row r="425">
      <c r="A425" s="14" t="n"/>
      <c r="B425" s="14" t="n"/>
      <c r="C425" s="21">
        <f>IF(B425="","",IFERROR(INDEX(Listas!$B$2:$B$14,MATCH(B425,Listas!$A$2:$A$14,0)),"?"))</f>
        <v/>
      </c>
      <c r="D425" s="14" t="n"/>
      <c r="E425" s="14" t="n"/>
      <c r="F425" s="21">
        <f>IF(AND(D425="",E425=""),"",D425*60+E425)</f>
        <v/>
      </c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</row>
    <row r="426">
      <c r="A426" s="14" t="n"/>
      <c r="B426" s="14" t="n"/>
      <c r="C426" s="21">
        <f>IF(B426="","",IFERROR(INDEX(Listas!$B$2:$B$14,MATCH(B426,Listas!$A$2:$A$14,0)),"?"))</f>
        <v/>
      </c>
      <c r="D426" s="14" t="n"/>
      <c r="E426" s="14" t="n"/>
      <c r="F426" s="21">
        <f>IF(AND(D426="",E426=""),"",D426*60+E426)</f>
        <v/>
      </c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</row>
    <row r="427">
      <c r="A427" s="14" t="n"/>
      <c r="B427" s="14" t="n"/>
      <c r="C427" s="21">
        <f>IF(B427="","",IFERROR(INDEX(Listas!$B$2:$B$14,MATCH(B427,Listas!$A$2:$A$14,0)),"?"))</f>
        <v/>
      </c>
      <c r="D427" s="14" t="n"/>
      <c r="E427" s="14" t="n"/>
      <c r="F427" s="21">
        <f>IF(AND(D427="",E427=""),"",D427*60+E427)</f>
        <v/>
      </c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</row>
    <row r="428">
      <c r="A428" s="14" t="n"/>
      <c r="B428" s="14" t="n"/>
      <c r="C428" s="21">
        <f>IF(B428="","",IFERROR(INDEX(Listas!$B$2:$B$14,MATCH(B428,Listas!$A$2:$A$14,0)),"?"))</f>
        <v/>
      </c>
      <c r="D428" s="14" t="n"/>
      <c r="E428" s="14" t="n"/>
      <c r="F428" s="21">
        <f>IF(AND(D428="",E428=""),"",D428*60+E428)</f>
        <v/>
      </c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</row>
    <row r="429">
      <c r="A429" s="14" t="n"/>
      <c r="B429" s="14" t="n"/>
      <c r="C429" s="21">
        <f>IF(B429="","",IFERROR(INDEX(Listas!$B$2:$B$14,MATCH(B429,Listas!$A$2:$A$14,0)),"?"))</f>
        <v/>
      </c>
      <c r="D429" s="14" t="n"/>
      <c r="E429" s="14" t="n"/>
      <c r="F429" s="21">
        <f>IF(AND(D429="",E429=""),"",D429*60+E429)</f>
        <v/>
      </c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</row>
    <row r="430">
      <c r="A430" s="14" t="n"/>
      <c r="B430" s="14" t="n"/>
      <c r="C430" s="21">
        <f>IF(B430="","",IFERROR(INDEX(Listas!$B$2:$B$14,MATCH(B430,Listas!$A$2:$A$14,0)),"?"))</f>
        <v/>
      </c>
      <c r="D430" s="14" t="n"/>
      <c r="E430" s="14" t="n"/>
      <c r="F430" s="21">
        <f>IF(AND(D430="",E430=""),"",D430*60+E430)</f>
        <v/>
      </c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</row>
    <row r="431">
      <c r="A431" s="14" t="n"/>
      <c r="B431" s="14" t="n"/>
      <c r="C431" s="21">
        <f>IF(B431="","",IFERROR(INDEX(Listas!$B$2:$B$14,MATCH(B431,Listas!$A$2:$A$14,0)),"?"))</f>
        <v/>
      </c>
      <c r="D431" s="14" t="n"/>
      <c r="E431" s="14" t="n"/>
      <c r="F431" s="21">
        <f>IF(AND(D431="",E431=""),"",D431*60+E431)</f>
        <v/>
      </c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</row>
    <row r="432">
      <c r="A432" s="14" t="n"/>
      <c r="B432" s="14" t="n"/>
      <c r="C432" s="21">
        <f>IF(B432="","",IFERROR(INDEX(Listas!$B$2:$B$14,MATCH(B432,Listas!$A$2:$A$14,0)),"?"))</f>
        <v/>
      </c>
      <c r="D432" s="14" t="n"/>
      <c r="E432" s="14" t="n"/>
      <c r="F432" s="21">
        <f>IF(AND(D432="",E432=""),"",D432*60+E432)</f>
        <v/>
      </c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</row>
    <row r="433">
      <c r="A433" s="14" t="n"/>
      <c r="B433" s="14" t="n"/>
      <c r="C433" s="21">
        <f>IF(B433="","",IFERROR(INDEX(Listas!$B$2:$B$14,MATCH(B433,Listas!$A$2:$A$14,0)),"?"))</f>
        <v/>
      </c>
      <c r="D433" s="14" t="n"/>
      <c r="E433" s="14" t="n"/>
      <c r="F433" s="21">
        <f>IF(AND(D433="",E433=""),"",D433*60+E433)</f>
        <v/>
      </c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</row>
    <row r="434">
      <c r="A434" s="14" t="n"/>
      <c r="B434" s="14" t="n"/>
      <c r="C434" s="21">
        <f>IF(B434="","",IFERROR(INDEX(Listas!$B$2:$B$14,MATCH(B434,Listas!$A$2:$A$14,0)),"?"))</f>
        <v/>
      </c>
      <c r="D434" s="14" t="n"/>
      <c r="E434" s="14" t="n"/>
      <c r="F434" s="21">
        <f>IF(AND(D434="",E434=""),"",D434*60+E434)</f>
        <v/>
      </c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</row>
    <row r="435">
      <c r="A435" s="14" t="n"/>
      <c r="B435" s="14" t="n"/>
      <c r="C435" s="21">
        <f>IF(B435="","",IFERROR(INDEX(Listas!$B$2:$B$14,MATCH(B435,Listas!$A$2:$A$14,0)),"?"))</f>
        <v/>
      </c>
      <c r="D435" s="14" t="n"/>
      <c r="E435" s="14" t="n"/>
      <c r="F435" s="21">
        <f>IF(AND(D435="",E435=""),"",D435*60+E435)</f>
        <v/>
      </c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</row>
    <row r="436">
      <c r="A436" s="14" t="n"/>
      <c r="B436" s="14" t="n"/>
      <c r="C436" s="21">
        <f>IF(B436="","",IFERROR(INDEX(Listas!$B$2:$B$14,MATCH(B436,Listas!$A$2:$A$14,0)),"?"))</f>
        <v/>
      </c>
      <c r="D436" s="14" t="n"/>
      <c r="E436" s="14" t="n"/>
      <c r="F436" s="21">
        <f>IF(AND(D436="",E436=""),"",D436*60+E436)</f>
        <v/>
      </c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</row>
    <row r="437">
      <c r="A437" s="14" t="n"/>
      <c r="B437" s="14" t="n"/>
      <c r="C437" s="21">
        <f>IF(B437="","",IFERROR(INDEX(Listas!$B$2:$B$14,MATCH(B437,Listas!$A$2:$A$14,0)),"?"))</f>
        <v/>
      </c>
      <c r="D437" s="14" t="n"/>
      <c r="E437" s="14" t="n"/>
      <c r="F437" s="21">
        <f>IF(AND(D437="",E437=""),"",D437*60+E437)</f>
        <v/>
      </c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</row>
    <row r="438">
      <c r="A438" s="14" t="n"/>
      <c r="B438" s="14" t="n"/>
      <c r="C438" s="21">
        <f>IF(B438="","",IFERROR(INDEX(Listas!$B$2:$B$14,MATCH(B438,Listas!$A$2:$A$14,0)),"?"))</f>
        <v/>
      </c>
      <c r="D438" s="14" t="n"/>
      <c r="E438" s="14" t="n"/>
      <c r="F438" s="21">
        <f>IF(AND(D438="",E438=""),"",D438*60+E438)</f>
        <v/>
      </c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</row>
    <row r="439">
      <c r="A439" s="14" t="n"/>
      <c r="B439" s="14" t="n"/>
      <c r="C439" s="21">
        <f>IF(B439="","",IFERROR(INDEX(Listas!$B$2:$B$14,MATCH(B439,Listas!$A$2:$A$14,0)),"?"))</f>
        <v/>
      </c>
      <c r="D439" s="14" t="n"/>
      <c r="E439" s="14" t="n"/>
      <c r="F439" s="21">
        <f>IF(AND(D439="",E439=""),"",D439*60+E439)</f>
        <v/>
      </c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</row>
    <row r="440">
      <c r="A440" s="14" t="n"/>
      <c r="B440" s="14" t="n"/>
      <c r="C440" s="21">
        <f>IF(B440="","",IFERROR(INDEX(Listas!$B$2:$B$14,MATCH(B440,Listas!$A$2:$A$14,0)),"?"))</f>
        <v/>
      </c>
      <c r="D440" s="14" t="n"/>
      <c r="E440" s="14" t="n"/>
      <c r="F440" s="21">
        <f>IF(AND(D440="",E440=""),"",D440*60+E440)</f>
        <v/>
      </c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</row>
    <row r="441">
      <c r="A441" s="14" t="n"/>
      <c r="B441" s="14" t="n"/>
      <c r="C441" s="21">
        <f>IF(B441="","",IFERROR(INDEX(Listas!$B$2:$B$14,MATCH(B441,Listas!$A$2:$A$14,0)),"?"))</f>
        <v/>
      </c>
      <c r="D441" s="14" t="n"/>
      <c r="E441" s="14" t="n"/>
      <c r="F441" s="21">
        <f>IF(AND(D441="",E441=""),"",D441*60+E441)</f>
        <v/>
      </c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</row>
    <row r="442">
      <c r="A442" s="14" t="n"/>
      <c r="B442" s="14" t="n"/>
      <c r="C442" s="21">
        <f>IF(B442="","",IFERROR(INDEX(Listas!$B$2:$B$14,MATCH(B442,Listas!$A$2:$A$14,0)),"?"))</f>
        <v/>
      </c>
      <c r="D442" s="14" t="n"/>
      <c r="E442" s="14" t="n"/>
      <c r="F442" s="21">
        <f>IF(AND(D442="",E442=""),"",D442*60+E442)</f>
        <v/>
      </c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</row>
    <row r="443">
      <c r="A443" s="14" t="n"/>
      <c r="B443" s="14" t="n"/>
      <c r="C443" s="21">
        <f>IF(B443="","",IFERROR(INDEX(Listas!$B$2:$B$14,MATCH(B443,Listas!$A$2:$A$14,0)),"?"))</f>
        <v/>
      </c>
      <c r="D443" s="14" t="n"/>
      <c r="E443" s="14" t="n"/>
      <c r="F443" s="21">
        <f>IF(AND(D443="",E443=""),"",D443*60+E443)</f>
        <v/>
      </c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</row>
    <row r="444">
      <c r="A444" s="14" t="n"/>
      <c r="B444" s="14" t="n"/>
      <c r="C444" s="21">
        <f>IF(B444="","",IFERROR(INDEX(Listas!$B$2:$B$14,MATCH(B444,Listas!$A$2:$A$14,0)),"?"))</f>
        <v/>
      </c>
      <c r="D444" s="14" t="n"/>
      <c r="E444" s="14" t="n"/>
      <c r="F444" s="21">
        <f>IF(AND(D444="",E444=""),"",D444*60+E444)</f>
        <v/>
      </c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</row>
    <row r="445">
      <c r="A445" s="14" t="n"/>
      <c r="B445" s="14" t="n"/>
      <c r="C445" s="21">
        <f>IF(B445="","",IFERROR(INDEX(Listas!$B$2:$B$14,MATCH(B445,Listas!$A$2:$A$14,0)),"?"))</f>
        <v/>
      </c>
      <c r="D445" s="14" t="n"/>
      <c r="E445" s="14" t="n"/>
      <c r="F445" s="21">
        <f>IF(AND(D445="",E445=""),"",D445*60+E445)</f>
        <v/>
      </c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</row>
    <row r="446">
      <c r="A446" s="14" t="n"/>
      <c r="B446" s="14" t="n"/>
      <c r="C446" s="21">
        <f>IF(B446="","",IFERROR(INDEX(Listas!$B$2:$B$14,MATCH(B446,Listas!$A$2:$A$14,0)),"?"))</f>
        <v/>
      </c>
      <c r="D446" s="14" t="n"/>
      <c r="E446" s="14" t="n"/>
      <c r="F446" s="21">
        <f>IF(AND(D446="",E446=""),"",D446*60+E446)</f>
        <v/>
      </c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</row>
    <row r="447">
      <c r="A447" s="14" t="n"/>
      <c r="B447" s="14" t="n"/>
      <c r="C447" s="21">
        <f>IF(B447="","",IFERROR(INDEX(Listas!$B$2:$B$14,MATCH(B447,Listas!$A$2:$A$14,0)),"?"))</f>
        <v/>
      </c>
      <c r="D447" s="14" t="n"/>
      <c r="E447" s="14" t="n"/>
      <c r="F447" s="21">
        <f>IF(AND(D447="",E447=""),"",D447*60+E447)</f>
        <v/>
      </c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</row>
    <row r="448">
      <c r="A448" s="14" t="n"/>
      <c r="B448" s="14" t="n"/>
      <c r="C448" s="21">
        <f>IF(B448="","",IFERROR(INDEX(Listas!$B$2:$B$14,MATCH(B448,Listas!$A$2:$A$14,0)),"?"))</f>
        <v/>
      </c>
      <c r="D448" s="14" t="n"/>
      <c r="E448" s="14" t="n"/>
      <c r="F448" s="21">
        <f>IF(AND(D448="",E448=""),"",D448*60+E448)</f>
        <v/>
      </c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</row>
    <row r="449">
      <c r="A449" s="14" t="n"/>
      <c r="B449" s="14" t="n"/>
      <c r="C449" s="21">
        <f>IF(B449="","",IFERROR(INDEX(Listas!$B$2:$B$14,MATCH(B449,Listas!$A$2:$A$14,0)),"?"))</f>
        <v/>
      </c>
      <c r="D449" s="14" t="n"/>
      <c r="E449" s="14" t="n"/>
      <c r="F449" s="21">
        <f>IF(AND(D449="",E449=""),"",D449*60+E449)</f>
        <v/>
      </c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</row>
    <row r="450">
      <c r="A450" s="14" t="n"/>
      <c r="B450" s="14" t="n"/>
      <c r="C450" s="21">
        <f>IF(B450="","",IFERROR(INDEX(Listas!$B$2:$B$14,MATCH(B450,Listas!$A$2:$A$14,0)),"?"))</f>
        <v/>
      </c>
      <c r="D450" s="14" t="n"/>
      <c r="E450" s="14" t="n"/>
      <c r="F450" s="21">
        <f>IF(AND(D450="",E450=""),"",D450*60+E450)</f>
        <v/>
      </c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</row>
    <row r="451">
      <c r="A451" s="14" t="n"/>
      <c r="B451" s="14" t="n"/>
      <c r="C451" s="21">
        <f>IF(B451="","",IFERROR(INDEX(Listas!$B$2:$B$14,MATCH(B451,Listas!$A$2:$A$14,0)),"?"))</f>
        <v/>
      </c>
      <c r="D451" s="14" t="n"/>
      <c r="E451" s="14" t="n"/>
      <c r="F451" s="21">
        <f>IF(AND(D451="",E451=""),"",D451*60+E451)</f>
        <v/>
      </c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</row>
    <row r="452">
      <c r="A452" s="14" t="n"/>
      <c r="B452" s="14" t="n"/>
      <c r="C452" s="21">
        <f>IF(B452="","",IFERROR(INDEX(Listas!$B$2:$B$14,MATCH(B452,Listas!$A$2:$A$14,0)),"?"))</f>
        <v/>
      </c>
      <c r="D452" s="14" t="n"/>
      <c r="E452" s="14" t="n"/>
      <c r="F452" s="21">
        <f>IF(AND(D452="",E452=""),"",D452*60+E452)</f>
        <v/>
      </c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</row>
    <row r="453">
      <c r="A453" s="14" t="n"/>
      <c r="B453" s="14" t="n"/>
      <c r="C453" s="21">
        <f>IF(B453="","",IFERROR(INDEX(Listas!$B$2:$B$14,MATCH(B453,Listas!$A$2:$A$14,0)),"?"))</f>
        <v/>
      </c>
      <c r="D453" s="14" t="n"/>
      <c r="E453" s="14" t="n"/>
      <c r="F453" s="21">
        <f>IF(AND(D453="",E453=""),"",D453*60+E453)</f>
        <v/>
      </c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</row>
    <row r="454">
      <c r="A454" s="14" t="n"/>
      <c r="B454" s="14" t="n"/>
      <c r="C454" s="21">
        <f>IF(B454="","",IFERROR(INDEX(Listas!$B$2:$B$14,MATCH(B454,Listas!$A$2:$A$14,0)),"?"))</f>
        <v/>
      </c>
      <c r="D454" s="14" t="n"/>
      <c r="E454" s="14" t="n"/>
      <c r="F454" s="21">
        <f>IF(AND(D454="",E454=""),"",D454*60+E454)</f>
        <v/>
      </c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</row>
    <row r="455">
      <c r="A455" s="14" t="n"/>
      <c r="B455" s="14" t="n"/>
      <c r="C455" s="21">
        <f>IF(B455="","",IFERROR(INDEX(Listas!$B$2:$B$14,MATCH(B455,Listas!$A$2:$A$14,0)),"?"))</f>
        <v/>
      </c>
      <c r="D455" s="14" t="n"/>
      <c r="E455" s="14" t="n"/>
      <c r="F455" s="21">
        <f>IF(AND(D455="",E455=""),"",D455*60+E455)</f>
        <v/>
      </c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</row>
    <row r="456">
      <c r="A456" s="14" t="n"/>
      <c r="B456" s="14" t="n"/>
      <c r="C456" s="21">
        <f>IF(B456="","",IFERROR(INDEX(Listas!$B$2:$B$14,MATCH(B456,Listas!$A$2:$A$14,0)),"?"))</f>
        <v/>
      </c>
      <c r="D456" s="14" t="n"/>
      <c r="E456" s="14" t="n"/>
      <c r="F456" s="21">
        <f>IF(AND(D456="",E456=""),"",D456*60+E456)</f>
        <v/>
      </c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</row>
    <row r="457">
      <c r="A457" s="14" t="n"/>
      <c r="B457" s="14" t="n"/>
      <c r="C457" s="21">
        <f>IF(B457="","",IFERROR(INDEX(Listas!$B$2:$B$14,MATCH(B457,Listas!$A$2:$A$14,0)),"?"))</f>
        <v/>
      </c>
      <c r="D457" s="14" t="n"/>
      <c r="E457" s="14" t="n"/>
      <c r="F457" s="21">
        <f>IF(AND(D457="",E457=""),"",D457*60+E457)</f>
        <v/>
      </c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</row>
    <row r="458">
      <c r="A458" s="14" t="n"/>
      <c r="B458" s="14" t="n"/>
      <c r="C458" s="21">
        <f>IF(B458="","",IFERROR(INDEX(Listas!$B$2:$B$14,MATCH(B458,Listas!$A$2:$A$14,0)),"?"))</f>
        <v/>
      </c>
      <c r="D458" s="14" t="n"/>
      <c r="E458" s="14" t="n"/>
      <c r="F458" s="21">
        <f>IF(AND(D458="",E458=""),"",D458*60+E458)</f>
        <v/>
      </c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</row>
    <row r="459">
      <c r="A459" s="14" t="n"/>
      <c r="B459" s="14" t="n"/>
      <c r="C459" s="21">
        <f>IF(B459="","",IFERROR(INDEX(Listas!$B$2:$B$14,MATCH(B459,Listas!$A$2:$A$14,0)),"?"))</f>
        <v/>
      </c>
      <c r="D459" s="14" t="n"/>
      <c r="E459" s="14" t="n"/>
      <c r="F459" s="21">
        <f>IF(AND(D459="",E459=""),"",D459*60+E459)</f>
        <v/>
      </c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</row>
    <row r="460">
      <c r="A460" s="14" t="n"/>
      <c r="B460" s="14" t="n"/>
      <c r="C460" s="21">
        <f>IF(B460="","",IFERROR(INDEX(Listas!$B$2:$B$14,MATCH(B460,Listas!$A$2:$A$14,0)),"?"))</f>
        <v/>
      </c>
      <c r="D460" s="14" t="n"/>
      <c r="E460" s="14" t="n"/>
      <c r="F460" s="21">
        <f>IF(AND(D460="",E460=""),"",D460*60+E460)</f>
        <v/>
      </c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</row>
    <row r="461">
      <c r="A461" s="14" t="n"/>
      <c r="B461" s="14" t="n"/>
      <c r="C461" s="21">
        <f>IF(B461="","",IFERROR(INDEX(Listas!$B$2:$B$14,MATCH(B461,Listas!$A$2:$A$14,0)),"?"))</f>
        <v/>
      </c>
      <c r="D461" s="14" t="n"/>
      <c r="E461" s="14" t="n"/>
      <c r="F461" s="21">
        <f>IF(AND(D461="",E461=""),"",D461*60+E461)</f>
        <v/>
      </c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</row>
    <row r="462">
      <c r="A462" s="14" t="n"/>
      <c r="B462" s="14" t="n"/>
      <c r="C462" s="21">
        <f>IF(B462="","",IFERROR(INDEX(Listas!$B$2:$B$14,MATCH(B462,Listas!$A$2:$A$14,0)),"?"))</f>
        <v/>
      </c>
      <c r="D462" s="14" t="n"/>
      <c r="E462" s="14" t="n"/>
      <c r="F462" s="21">
        <f>IF(AND(D462="",E462=""),"",D462*60+E462)</f>
        <v/>
      </c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</row>
    <row r="463">
      <c r="A463" s="14" t="n"/>
      <c r="B463" s="14" t="n"/>
      <c r="C463" s="21">
        <f>IF(B463="","",IFERROR(INDEX(Listas!$B$2:$B$14,MATCH(B463,Listas!$A$2:$A$14,0)),"?"))</f>
        <v/>
      </c>
      <c r="D463" s="14" t="n"/>
      <c r="E463" s="14" t="n"/>
      <c r="F463" s="21">
        <f>IF(AND(D463="",E463=""),"",D463*60+E463)</f>
        <v/>
      </c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</row>
    <row r="464">
      <c r="A464" s="14" t="n"/>
      <c r="B464" s="14" t="n"/>
      <c r="C464" s="21">
        <f>IF(B464="","",IFERROR(INDEX(Listas!$B$2:$B$14,MATCH(B464,Listas!$A$2:$A$14,0)),"?"))</f>
        <v/>
      </c>
      <c r="D464" s="14" t="n"/>
      <c r="E464" s="14" t="n"/>
      <c r="F464" s="21">
        <f>IF(AND(D464="",E464=""),"",D464*60+E464)</f>
        <v/>
      </c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</row>
    <row r="465">
      <c r="A465" s="14" t="n"/>
      <c r="B465" s="14" t="n"/>
      <c r="C465" s="21">
        <f>IF(B465="","",IFERROR(INDEX(Listas!$B$2:$B$14,MATCH(B465,Listas!$A$2:$A$14,0)),"?"))</f>
        <v/>
      </c>
      <c r="D465" s="14" t="n"/>
      <c r="E465" s="14" t="n"/>
      <c r="F465" s="21">
        <f>IF(AND(D465="",E465=""),"",D465*60+E465)</f>
        <v/>
      </c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</row>
    <row r="466">
      <c r="A466" s="14" t="n"/>
      <c r="B466" s="14" t="n"/>
      <c r="C466" s="21">
        <f>IF(B466="","",IFERROR(INDEX(Listas!$B$2:$B$14,MATCH(B466,Listas!$A$2:$A$14,0)),"?"))</f>
        <v/>
      </c>
      <c r="D466" s="14" t="n"/>
      <c r="E466" s="14" t="n"/>
      <c r="F466" s="21">
        <f>IF(AND(D466="",E466=""),"",D466*60+E466)</f>
        <v/>
      </c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</row>
    <row r="467">
      <c r="A467" s="14" t="n"/>
      <c r="B467" s="14" t="n"/>
      <c r="C467" s="21">
        <f>IF(B467="","",IFERROR(INDEX(Listas!$B$2:$B$14,MATCH(B467,Listas!$A$2:$A$14,0)),"?"))</f>
        <v/>
      </c>
      <c r="D467" s="14" t="n"/>
      <c r="E467" s="14" t="n"/>
      <c r="F467" s="21">
        <f>IF(AND(D467="",E467=""),"",D467*60+E467)</f>
        <v/>
      </c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</row>
    <row r="468">
      <c r="A468" s="14" t="n"/>
      <c r="B468" s="14" t="n"/>
      <c r="C468" s="21">
        <f>IF(B468="","",IFERROR(INDEX(Listas!$B$2:$B$14,MATCH(B468,Listas!$A$2:$A$14,0)),"?"))</f>
        <v/>
      </c>
      <c r="D468" s="14" t="n"/>
      <c r="E468" s="14" t="n"/>
      <c r="F468" s="21">
        <f>IF(AND(D468="",E468=""),"",D468*60+E468)</f>
        <v/>
      </c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</row>
    <row r="469">
      <c r="A469" s="14" t="n"/>
      <c r="B469" s="14" t="n"/>
      <c r="C469" s="21">
        <f>IF(B469="","",IFERROR(INDEX(Listas!$B$2:$B$14,MATCH(B469,Listas!$A$2:$A$14,0)),"?"))</f>
        <v/>
      </c>
      <c r="D469" s="14" t="n"/>
      <c r="E469" s="14" t="n"/>
      <c r="F469" s="21">
        <f>IF(AND(D469="",E469=""),"",D469*60+E469)</f>
        <v/>
      </c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</row>
    <row r="470">
      <c r="A470" s="14" t="n"/>
      <c r="B470" s="14" t="n"/>
      <c r="C470" s="21">
        <f>IF(B470="","",IFERROR(INDEX(Listas!$B$2:$B$14,MATCH(B470,Listas!$A$2:$A$14,0)),"?"))</f>
        <v/>
      </c>
      <c r="D470" s="14" t="n"/>
      <c r="E470" s="14" t="n"/>
      <c r="F470" s="21">
        <f>IF(AND(D470="",E470=""),"",D470*60+E470)</f>
        <v/>
      </c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</row>
    <row r="471">
      <c r="A471" s="14" t="n"/>
      <c r="B471" s="14" t="n"/>
      <c r="C471" s="21">
        <f>IF(B471="","",IFERROR(INDEX(Listas!$B$2:$B$14,MATCH(B471,Listas!$A$2:$A$14,0)),"?"))</f>
        <v/>
      </c>
      <c r="D471" s="14" t="n"/>
      <c r="E471" s="14" t="n"/>
      <c r="F471" s="21">
        <f>IF(AND(D471="",E471=""),"",D471*60+E471)</f>
        <v/>
      </c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</row>
    <row r="472">
      <c r="A472" s="14" t="n"/>
      <c r="B472" s="14" t="n"/>
      <c r="C472" s="21">
        <f>IF(B472="","",IFERROR(INDEX(Listas!$B$2:$B$14,MATCH(B472,Listas!$A$2:$A$14,0)),"?"))</f>
        <v/>
      </c>
      <c r="D472" s="14" t="n"/>
      <c r="E472" s="14" t="n"/>
      <c r="F472" s="21">
        <f>IF(AND(D472="",E472=""),"",D472*60+E472)</f>
        <v/>
      </c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</row>
    <row r="473">
      <c r="A473" s="14" t="n"/>
      <c r="B473" s="14" t="n"/>
      <c r="C473" s="21">
        <f>IF(B473="","",IFERROR(INDEX(Listas!$B$2:$B$14,MATCH(B473,Listas!$A$2:$A$14,0)),"?"))</f>
        <v/>
      </c>
      <c r="D473" s="14" t="n"/>
      <c r="E473" s="14" t="n"/>
      <c r="F473" s="21">
        <f>IF(AND(D473="",E473=""),"",D473*60+E473)</f>
        <v/>
      </c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</row>
    <row r="474">
      <c r="A474" s="14" t="n"/>
      <c r="B474" s="14" t="n"/>
      <c r="C474" s="21">
        <f>IF(B474="","",IFERROR(INDEX(Listas!$B$2:$B$14,MATCH(B474,Listas!$A$2:$A$14,0)),"?"))</f>
        <v/>
      </c>
      <c r="D474" s="14" t="n"/>
      <c r="E474" s="14" t="n"/>
      <c r="F474" s="21">
        <f>IF(AND(D474="",E474=""),"",D474*60+E474)</f>
        <v/>
      </c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</row>
    <row r="475">
      <c r="A475" s="14" t="n"/>
      <c r="B475" s="14" t="n"/>
      <c r="C475" s="21">
        <f>IF(B475="","",IFERROR(INDEX(Listas!$B$2:$B$14,MATCH(B475,Listas!$A$2:$A$14,0)),"?"))</f>
        <v/>
      </c>
      <c r="D475" s="14" t="n"/>
      <c r="E475" s="14" t="n"/>
      <c r="F475" s="21">
        <f>IF(AND(D475="",E475=""),"",D475*60+E475)</f>
        <v/>
      </c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</row>
    <row r="476">
      <c r="A476" s="14" t="n"/>
      <c r="B476" s="14" t="n"/>
      <c r="C476" s="21">
        <f>IF(B476="","",IFERROR(INDEX(Listas!$B$2:$B$14,MATCH(B476,Listas!$A$2:$A$14,0)),"?"))</f>
        <v/>
      </c>
      <c r="D476" s="14" t="n"/>
      <c r="E476" s="14" t="n"/>
      <c r="F476" s="21">
        <f>IF(AND(D476="",E476=""),"",D476*60+E476)</f>
        <v/>
      </c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</row>
    <row r="477">
      <c r="A477" s="14" t="n"/>
      <c r="B477" s="14" t="n"/>
      <c r="C477" s="21">
        <f>IF(B477="","",IFERROR(INDEX(Listas!$B$2:$B$14,MATCH(B477,Listas!$A$2:$A$14,0)),"?"))</f>
        <v/>
      </c>
      <c r="D477" s="14" t="n"/>
      <c r="E477" s="14" t="n"/>
      <c r="F477" s="21">
        <f>IF(AND(D477="",E477=""),"",D477*60+E477)</f>
        <v/>
      </c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</row>
    <row r="478">
      <c r="A478" s="14" t="n"/>
      <c r="B478" s="14" t="n"/>
      <c r="C478" s="21">
        <f>IF(B478="","",IFERROR(INDEX(Listas!$B$2:$B$14,MATCH(B478,Listas!$A$2:$A$14,0)),"?"))</f>
        <v/>
      </c>
      <c r="D478" s="14" t="n"/>
      <c r="E478" s="14" t="n"/>
      <c r="F478" s="21">
        <f>IF(AND(D478="",E478=""),"",D478*60+E478)</f>
        <v/>
      </c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</row>
    <row r="479">
      <c r="A479" s="14" t="n"/>
      <c r="B479" s="14" t="n"/>
      <c r="C479" s="21">
        <f>IF(B479="","",IFERROR(INDEX(Listas!$B$2:$B$14,MATCH(B479,Listas!$A$2:$A$14,0)),"?"))</f>
        <v/>
      </c>
      <c r="D479" s="14" t="n"/>
      <c r="E479" s="14" t="n"/>
      <c r="F479" s="21">
        <f>IF(AND(D479="",E479=""),"",D479*60+E479)</f>
        <v/>
      </c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</row>
    <row r="480">
      <c r="A480" s="14" t="n"/>
      <c r="B480" s="14" t="n"/>
      <c r="C480" s="21">
        <f>IF(B480="","",IFERROR(INDEX(Listas!$B$2:$B$14,MATCH(B480,Listas!$A$2:$A$14,0)),"?"))</f>
        <v/>
      </c>
      <c r="D480" s="14" t="n"/>
      <c r="E480" s="14" t="n"/>
      <c r="F480" s="21">
        <f>IF(AND(D480="",E480=""),"",D480*60+E480)</f>
        <v/>
      </c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</row>
    <row r="481">
      <c r="A481" s="14" t="n"/>
      <c r="B481" s="14" t="n"/>
      <c r="C481" s="21">
        <f>IF(B481="","",IFERROR(INDEX(Listas!$B$2:$B$14,MATCH(B481,Listas!$A$2:$A$14,0)),"?"))</f>
        <v/>
      </c>
      <c r="D481" s="14" t="n"/>
      <c r="E481" s="14" t="n"/>
      <c r="F481" s="21">
        <f>IF(AND(D481="",E481=""),"",D481*60+E481)</f>
        <v/>
      </c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</row>
    <row r="482">
      <c r="A482" s="14" t="n"/>
      <c r="B482" s="14" t="n"/>
      <c r="C482" s="21">
        <f>IF(B482="","",IFERROR(INDEX(Listas!$B$2:$B$14,MATCH(B482,Listas!$A$2:$A$14,0)),"?"))</f>
        <v/>
      </c>
      <c r="D482" s="14" t="n"/>
      <c r="E482" s="14" t="n"/>
      <c r="F482" s="21">
        <f>IF(AND(D482="",E482=""),"",D482*60+E482)</f>
        <v/>
      </c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</row>
    <row r="483">
      <c r="A483" s="14" t="n"/>
      <c r="B483" s="14" t="n"/>
      <c r="C483" s="21">
        <f>IF(B483="","",IFERROR(INDEX(Listas!$B$2:$B$14,MATCH(B483,Listas!$A$2:$A$14,0)),"?"))</f>
        <v/>
      </c>
      <c r="D483" s="14" t="n"/>
      <c r="E483" s="14" t="n"/>
      <c r="F483" s="21">
        <f>IF(AND(D483="",E483=""),"",D483*60+E483)</f>
        <v/>
      </c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</row>
    <row r="484">
      <c r="A484" s="14" t="n"/>
      <c r="B484" s="14" t="n"/>
      <c r="C484" s="21">
        <f>IF(B484="","",IFERROR(INDEX(Listas!$B$2:$B$14,MATCH(B484,Listas!$A$2:$A$14,0)),"?"))</f>
        <v/>
      </c>
      <c r="D484" s="14" t="n"/>
      <c r="E484" s="14" t="n"/>
      <c r="F484" s="21">
        <f>IF(AND(D484="",E484=""),"",D484*60+E484)</f>
        <v/>
      </c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</row>
    <row r="485">
      <c r="A485" s="14" t="n"/>
      <c r="B485" s="14" t="n"/>
      <c r="C485" s="21">
        <f>IF(B485="","",IFERROR(INDEX(Listas!$B$2:$B$14,MATCH(B485,Listas!$A$2:$A$14,0)),"?"))</f>
        <v/>
      </c>
      <c r="D485" s="14" t="n"/>
      <c r="E485" s="14" t="n"/>
      <c r="F485" s="21">
        <f>IF(AND(D485="",E485=""),"",D485*60+E485)</f>
        <v/>
      </c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</row>
    <row r="486">
      <c r="A486" s="14" t="n"/>
      <c r="B486" s="14" t="n"/>
      <c r="C486" s="21">
        <f>IF(B486="","",IFERROR(INDEX(Listas!$B$2:$B$14,MATCH(B486,Listas!$A$2:$A$14,0)),"?"))</f>
        <v/>
      </c>
      <c r="D486" s="14" t="n"/>
      <c r="E486" s="14" t="n"/>
      <c r="F486" s="21">
        <f>IF(AND(D486="",E486=""),"",D486*60+E486)</f>
        <v/>
      </c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</row>
    <row r="487">
      <c r="A487" s="14" t="n"/>
      <c r="B487" s="14" t="n"/>
      <c r="C487" s="21">
        <f>IF(B487="","",IFERROR(INDEX(Listas!$B$2:$B$14,MATCH(B487,Listas!$A$2:$A$14,0)),"?"))</f>
        <v/>
      </c>
      <c r="D487" s="14" t="n"/>
      <c r="E487" s="14" t="n"/>
      <c r="F487" s="21">
        <f>IF(AND(D487="",E487=""),"",D487*60+E487)</f>
        <v/>
      </c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</row>
    <row r="488">
      <c r="A488" s="14" t="n"/>
      <c r="B488" s="14" t="n"/>
      <c r="C488" s="21">
        <f>IF(B488="","",IFERROR(INDEX(Listas!$B$2:$B$14,MATCH(B488,Listas!$A$2:$A$14,0)),"?"))</f>
        <v/>
      </c>
      <c r="D488" s="14" t="n"/>
      <c r="E488" s="14" t="n"/>
      <c r="F488" s="21">
        <f>IF(AND(D488="",E488=""),"",D488*60+E488)</f>
        <v/>
      </c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</row>
    <row r="489">
      <c r="A489" s="14" t="n"/>
      <c r="B489" s="14" t="n"/>
      <c r="C489" s="21">
        <f>IF(B489="","",IFERROR(INDEX(Listas!$B$2:$B$14,MATCH(B489,Listas!$A$2:$A$14,0)),"?"))</f>
        <v/>
      </c>
      <c r="D489" s="14" t="n"/>
      <c r="E489" s="14" t="n"/>
      <c r="F489" s="21">
        <f>IF(AND(D489="",E489=""),"",D489*60+E489)</f>
        <v/>
      </c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</row>
    <row r="490">
      <c r="A490" s="14" t="n"/>
      <c r="B490" s="14" t="n"/>
      <c r="C490" s="21">
        <f>IF(B490="","",IFERROR(INDEX(Listas!$B$2:$B$14,MATCH(B490,Listas!$A$2:$A$14,0)),"?"))</f>
        <v/>
      </c>
      <c r="D490" s="14" t="n"/>
      <c r="E490" s="14" t="n"/>
      <c r="F490" s="21">
        <f>IF(AND(D490="",E490=""),"",D490*60+E490)</f>
        <v/>
      </c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</row>
    <row r="491">
      <c r="A491" s="14" t="n"/>
      <c r="B491" s="14" t="n"/>
      <c r="C491" s="21">
        <f>IF(B491="","",IFERROR(INDEX(Listas!$B$2:$B$14,MATCH(B491,Listas!$A$2:$A$14,0)),"?"))</f>
        <v/>
      </c>
      <c r="D491" s="14" t="n"/>
      <c r="E491" s="14" t="n"/>
      <c r="F491" s="21">
        <f>IF(AND(D491="",E491=""),"",D491*60+E491)</f>
        <v/>
      </c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</row>
    <row r="492">
      <c r="A492" s="14" t="n"/>
      <c r="B492" s="14" t="n"/>
      <c r="C492" s="21">
        <f>IF(B492="","",IFERROR(INDEX(Listas!$B$2:$B$14,MATCH(B492,Listas!$A$2:$A$14,0)),"?"))</f>
        <v/>
      </c>
      <c r="D492" s="14" t="n"/>
      <c r="E492" s="14" t="n"/>
      <c r="F492" s="21">
        <f>IF(AND(D492="",E492=""),"",D492*60+E492)</f>
        <v/>
      </c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</row>
    <row r="493">
      <c r="A493" s="14" t="n"/>
      <c r="B493" s="14" t="n"/>
      <c r="C493" s="21">
        <f>IF(B493="","",IFERROR(INDEX(Listas!$B$2:$B$14,MATCH(B493,Listas!$A$2:$A$14,0)),"?"))</f>
        <v/>
      </c>
      <c r="D493" s="14" t="n"/>
      <c r="E493" s="14" t="n"/>
      <c r="F493" s="21">
        <f>IF(AND(D493="",E493=""),"",D493*60+E493)</f>
        <v/>
      </c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</row>
    <row r="494">
      <c r="A494" s="14" t="n"/>
      <c r="B494" s="14" t="n"/>
      <c r="C494" s="21">
        <f>IF(B494="","",IFERROR(INDEX(Listas!$B$2:$B$14,MATCH(B494,Listas!$A$2:$A$14,0)),"?"))</f>
        <v/>
      </c>
      <c r="D494" s="14" t="n"/>
      <c r="E494" s="14" t="n"/>
      <c r="F494" s="21">
        <f>IF(AND(D494="",E494=""),"",D494*60+E494)</f>
        <v/>
      </c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</row>
    <row r="495">
      <c r="A495" s="14" t="n"/>
      <c r="B495" s="14" t="n"/>
      <c r="C495" s="21">
        <f>IF(B495="","",IFERROR(INDEX(Listas!$B$2:$B$14,MATCH(B495,Listas!$A$2:$A$14,0)),"?"))</f>
        <v/>
      </c>
      <c r="D495" s="14" t="n"/>
      <c r="E495" s="14" t="n"/>
      <c r="F495" s="21">
        <f>IF(AND(D495="",E495=""),"",D495*60+E495)</f>
        <v/>
      </c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</row>
    <row r="496">
      <c r="A496" s="14" t="n"/>
      <c r="B496" s="14" t="n"/>
      <c r="C496" s="21">
        <f>IF(B496="","",IFERROR(INDEX(Listas!$B$2:$B$14,MATCH(B496,Listas!$A$2:$A$14,0)),"?"))</f>
        <v/>
      </c>
      <c r="D496" s="14" t="n"/>
      <c r="E496" s="14" t="n"/>
      <c r="F496" s="21">
        <f>IF(AND(D496="",E496=""),"",D496*60+E496)</f>
        <v/>
      </c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</row>
    <row r="497">
      <c r="A497" s="14" t="n"/>
      <c r="B497" s="14" t="n"/>
      <c r="C497" s="21">
        <f>IF(B497="","",IFERROR(INDEX(Listas!$B$2:$B$14,MATCH(B497,Listas!$A$2:$A$14,0)),"?"))</f>
        <v/>
      </c>
      <c r="D497" s="14" t="n"/>
      <c r="E497" s="14" t="n"/>
      <c r="F497" s="21">
        <f>IF(AND(D497="",E497=""),"",D497*60+E497)</f>
        <v/>
      </c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</row>
    <row r="498">
      <c r="A498" s="14" t="n"/>
      <c r="B498" s="14" t="n"/>
      <c r="C498" s="21">
        <f>IF(B498="","",IFERROR(INDEX(Listas!$B$2:$B$14,MATCH(B498,Listas!$A$2:$A$14,0)),"?"))</f>
        <v/>
      </c>
      <c r="D498" s="14" t="n"/>
      <c r="E498" s="14" t="n"/>
      <c r="F498" s="21">
        <f>IF(AND(D498="",E498=""),"",D498*60+E498)</f>
        <v/>
      </c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</row>
    <row r="499">
      <c r="A499" s="14" t="n"/>
      <c r="B499" s="14" t="n"/>
      <c r="C499" s="21">
        <f>IF(B499="","",IFERROR(INDEX(Listas!$B$2:$B$14,MATCH(B499,Listas!$A$2:$A$14,0)),"?"))</f>
        <v/>
      </c>
      <c r="D499" s="14" t="n"/>
      <c r="E499" s="14" t="n"/>
      <c r="F499" s="21">
        <f>IF(AND(D499="",E499=""),"",D499*60+E499)</f>
        <v/>
      </c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</row>
    <row r="500">
      <c r="A500" s="14" t="n"/>
      <c r="B500" s="14" t="n"/>
      <c r="C500" s="21">
        <f>IF(B500="","",IFERROR(INDEX(Listas!$B$2:$B$14,MATCH(B500,Listas!$A$2:$A$14,0)),"?"))</f>
        <v/>
      </c>
      <c r="D500" s="14" t="n"/>
      <c r="E500" s="14" t="n"/>
      <c r="F500" s="21">
        <f>IF(AND(D500="",E500=""),"",D500*60+E500)</f>
        <v/>
      </c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</row>
    <row r="501">
      <c r="A501" s="14" t="n"/>
      <c r="B501" s="14" t="n"/>
      <c r="C501" s="21">
        <f>IF(B501="","",IFERROR(INDEX(Listas!$B$2:$B$14,MATCH(B501,Listas!$A$2:$A$14,0)),"?"))</f>
        <v/>
      </c>
      <c r="D501" s="14" t="n"/>
      <c r="E501" s="14" t="n"/>
      <c r="F501" s="21">
        <f>IF(AND(D501="",E501=""),"",D501*60+E501)</f>
        <v/>
      </c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</row>
    <row r="502">
      <c r="A502" s="14" t="n"/>
      <c r="B502" s="14" t="n"/>
      <c r="C502" s="21">
        <f>IF(B502="","",IFERROR(INDEX(Listas!$B$2:$B$14,MATCH(B502,Listas!$A$2:$A$14,0)),"?"))</f>
        <v/>
      </c>
      <c r="D502" s="14" t="n"/>
      <c r="E502" s="14" t="n"/>
      <c r="F502" s="21">
        <f>IF(AND(D502="",E502=""),"",D502*60+E502)</f>
        <v/>
      </c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</row>
    <row r="503">
      <c r="A503" s="14" t="n"/>
      <c r="B503" s="14" t="n"/>
      <c r="C503" s="21">
        <f>IF(B503="","",IFERROR(INDEX(Listas!$B$2:$B$14,MATCH(B503,Listas!$A$2:$A$14,0)),"?"))</f>
        <v/>
      </c>
      <c r="D503" s="14" t="n"/>
      <c r="E503" s="14" t="n"/>
      <c r="F503" s="21">
        <f>IF(AND(D503="",E503=""),"",D503*60+E503)</f>
        <v/>
      </c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</row>
    <row r="504">
      <c r="A504" s="14" t="n"/>
      <c r="B504" s="14" t="n"/>
      <c r="C504" s="21">
        <f>IF(B504="","",IFERROR(INDEX(Listas!$B$2:$B$14,MATCH(B504,Listas!$A$2:$A$14,0)),"?"))</f>
        <v/>
      </c>
      <c r="D504" s="14" t="n"/>
      <c r="E504" s="14" t="n"/>
      <c r="F504" s="21">
        <f>IF(AND(D504="",E504=""),"",D504*60+E504)</f>
        <v/>
      </c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</row>
    <row r="505">
      <c r="A505" s="14" t="n"/>
      <c r="B505" s="14" t="n"/>
      <c r="C505" s="21">
        <f>IF(B505="","",IFERROR(INDEX(Listas!$B$2:$B$14,MATCH(B505,Listas!$A$2:$A$14,0)),"?"))</f>
        <v/>
      </c>
      <c r="D505" s="14" t="n"/>
      <c r="E505" s="14" t="n"/>
      <c r="F505" s="21">
        <f>IF(AND(D505="",E505=""),"",D505*60+E505)</f>
        <v/>
      </c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</row>
    <row r="506">
      <c r="A506" s="14" t="n"/>
      <c r="B506" s="14" t="n"/>
      <c r="C506" s="21">
        <f>IF(B506="","",IFERROR(INDEX(Listas!$B$2:$B$14,MATCH(B506,Listas!$A$2:$A$14,0)),"?"))</f>
        <v/>
      </c>
      <c r="D506" s="14" t="n"/>
      <c r="E506" s="14" t="n"/>
      <c r="F506" s="21">
        <f>IF(AND(D506="",E506=""),"",D506*60+E506)</f>
        <v/>
      </c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</row>
    <row r="507">
      <c r="A507" s="14" t="n"/>
      <c r="B507" s="14" t="n"/>
      <c r="C507" s="21">
        <f>IF(B507="","",IFERROR(INDEX(Listas!$B$2:$B$14,MATCH(B507,Listas!$A$2:$A$14,0)),"?"))</f>
        <v/>
      </c>
      <c r="D507" s="14" t="n"/>
      <c r="E507" s="14" t="n"/>
      <c r="F507" s="21">
        <f>IF(AND(D507="",E507=""),"",D507*60+E507)</f>
        <v/>
      </c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</row>
    <row r="508">
      <c r="A508" s="14" t="n"/>
      <c r="B508" s="14" t="n"/>
      <c r="C508" s="21">
        <f>IF(B508="","",IFERROR(INDEX(Listas!$B$2:$B$14,MATCH(B508,Listas!$A$2:$A$14,0)),"?"))</f>
        <v/>
      </c>
      <c r="D508" s="14" t="n"/>
      <c r="E508" s="14" t="n"/>
      <c r="F508" s="21">
        <f>IF(AND(D508="",E508=""),"",D508*60+E508)</f>
        <v/>
      </c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</row>
    <row r="509">
      <c r="A509" s="14" t="n"/>
      <c r="B509" s="14" t="n"/>
      <c r="C509" s="21">
        <f>IF(B509="","",IFERROR(INDEX(Listas!$B$2:$B$14,MATCH(B509,Listas!$A$2:$A$14,0)),"?"))</f>
        <v/>
      </c>
      <c r="D509" s="14" t="n"/>
      <c r="E509" s="14" t="n"/>
      <c r="F509" s="21">
        <f>IF(AND(D509="",E509=""),"",D509*60+E509)</f>
        <v/>
      </c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</row>
    <row r="510">
      <c r="A510" s="14" t="n"/>
      <c r="B510" s="14" t="n"/>
      <c r="C510" s="21">
        <f>IF(B510="","",IFERROR(INDEX(Listas!$B$2:$B$14,MATCH(B510,Listas!$A$2:$A$14,0)),"?"))</f>
        <v/>
      </c>
      <c r="D510" s="14" t="n"/>
      <c r="E510" s="14" t="n"/>
      <c r="F510" s="21">
        <f>IF(AND(D510="",E510=""),"",D510*60+E510)</f>
        <v/>
      </c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</row>
    <row r="511">
      <c r="A511" s="14" t="n"/>
      <c r="B511" s="14" t="n"/>
      <c r="C511" s="21">
        <f>IF(B511="","",IFERROR(INDEX(Listas!$B$2:$B$14,MATCH(B511,Listas!$A$2:$A$14,0)),"?"))</f>
        <v/>
      </c>
      <c r="D511" s="14" t="n"/>
      <c r="E511" s="14" t="n"/>
      <c r="F511" s="21">
        <f>IF(AND(D511="",E511=""),"",D511*60+E511)</f>
        <v/>
      </c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</row>
    <row r="512">
      <c r="A512" s="14" t="n"/>
      <c r="B512" s="14" t="n"/>
      <c r="C512" s="21">
        <f>IF(B512="","",IFERROR(INDEX(Listas!$B$2:$B$14,MATCH(B512,Listas!$A$2:$A$14,0)),"?"))</f>
        <v/>
      </c>
      <c r="D512" s="14" t="n"/>
      <c r="E512" s="14" t="n"/>
      <c r="F512" s="21">
        <f>IF(AND(D512="",E512=""),"",D512*60+E512)</f>
        <v/>
      </c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</row>
    <row r="513">
      <c r="A513" s="14" t="n"/>
      <c r="B513" s="14" t="n"/>
      <c r="C513" s="21">
        <f>IF(B513="","",IFERROR(INDEX(Listas!$B$2:$B$14,MATCH(B513,Listas!$A$2:$A$14,0)),"?"))</f>
        <v/>
      </c>
      <c r="D513" s="14" t="n"/>
      <c r="E513" s="14" t="n"/>
      <c r="F513" s="21">
        <f>IF(AND(D513="",E513=""),"",D513*60+E513)</f>
        <v/>
      </c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</row>
    <row r="514">
      <c r="A514" s="14" t="n"/>
      <c r="B514" s="14" t="n"/>
      <c r="C514" s="21">
        <f>IF(B514="","",IFERROR(INDEX(Listas!$B$2:$B$14,MATCH(B514,Listas!$A$2:$A$14,0)),"?"))</f>
        <v/>
      </c>
      <c r="D514" s="14" t="n"/>
      <c r="E514" s="14" t="n"/>
      <c r="F514" s="21">
        <f>IF(AND(D514="",E514=""),"",D514*60+E514)</f>
        <v/>
      </c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</row>
    <row r="515">
      <c r="A515" s="14" t="n"/>
      <c r="B515" s="14" t="n"/>
      <c r="C515" s="21">
        <f>IF(B515="","",IFERROR(INDEX(Listas!$B$2:$B$14,MATCH(B515,Listas!$A$2:$A$14,0)),"?"))</f>
        <v/>
      </c>
      <c r="D515" s="14" t="n"/>
      <c r="E515" s="14" t="n"/>
      <c r="F515" s="21">
        <f>IF(AND(D515="",E515=""),"",D515*60+E515)</f>
        <v/>
      </c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</row>
    <row r="516">
      <c r="A516" s="14" t="n"/>
      <c r="B516" s="14" t="n"/>
      <c r="C516" s="21">
        <f>IF(B516="","",IFERROR(INDEX(Listas!$B$2:$B$14,MATCH(B516,Listas!$A$2:$A$14,0)),"?"))</f>
        <v/>
      </c>
      <c r="D516" s="14" t="n"/>
      <c r="E516" s="14" t="n"/>
      <c r="F516" s="21">
        <f>IF(AND(D516="",E516=""),"",D516*60+E516)</f>
        <v/>
      </c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</row>
    <row r="517">
      <c r="A517" s="14" t="n"/>
      <c r="B517" s="14" t="n"/>
      <c r="C517" s="21">
        <f>IF(B517="","",IFERROR(INDEX(Listas!$B$2:$B$14,MATCH(B517,Listas!$A$2:$A$14,0)),"?"))</f>
        <v/>
      </c>
      <c r="D517" s="14" t="n"/>
      <c r="E517" s="14" t="n"/>
      <c r="F517" s="21">
        <f>IF(AND(D517="",E517=""),"",D517*60+E517)</f>
        <v/>
      </c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</row>
    <row r="518">
      <c r="A518" s="14" t="n"/>
      <c r="B518" s="14" t="n"/>
      <c r="C518" s="21">
        <f>IF(B518="","",IFERROR(INDEX(Listas!$B$2:$B$14,MATCH(B518,Listas!$A$2:$A$14,0)),"?"))</f>
        <v/>
      </c>
      <c r="D518" s="14" t="n"/>
      <c r="E518" s="14" t="n"/>
      <c r="F518" s="21">
        <f>IF(AND(D518="",E518=""),"",D518*60+E518)</f>
        <v/>
      </c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</row>
    <row r="519">
      <c r="A519" s="14" t="n"/>
      <c r="B519" s="14" t="n"/>
      <c r="C519" s="21">
        <f>IF(B519="","",IFERROR(INDEX(Listas!$B$2:$B$14,MATCH(B519,Listas!$A$2:$A$14,0)),"?"))</f>
        <v/>
      </c>
      <c r="D519" s="14" t="n"/>
      <c r="E519" s="14" t="n"/>
      <c r="F519" s="21">
        <f>IF(AND(D519="",E519=""),"",D519*60+E519)</f>
        <v/>
      </c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</row>
    <row r="520">
      <c r="A520" s="14" t="n"/>
      <c r="B520" s="14" t="n"/>
      <c r="C520" s="21">
        <f>IF(B520="","",IFERROR(INDEX(Listas!$B$2:$B$14,MATCH(B520,Listas!$A$2:$A$14,0)),"?"))</f>
        <v/>
      </c>
      <c r="D520" s="14" t="n"/>
      <c r="E520" s="14" t="n"/>
      <c r="F520" s="21">
        <f>IF(AND(D520="",E520=""),"",D520*60+E520)</f>
        <v/>
      </c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</row>
    <row r="521">
      <c r="A521" s="14" t="n"/>
      <c r="B521" s="14" t="n"/>
      <c r="C521" s="21">
        <f>IF(B521="","",IFERROR(INDEX(Listas!$B$2:$B$14,MATCH(B521,Listas!$A$2:$A$14,0)),"?"))</f>
        <v/>
      </c>
      <c r="D521" s="14" t="n"/>
      <c r="E521" s="14" t="n"/>
      <c r="F521" s="21">
        <f>IF(AND(D521="",E521=""),"",D521*60+E521)</f>
        <v/>
      </c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</row>
    <row r="522">
      <c r="A522" s="14" t="n"/>
      <c r="B522" s="14" t="n"/>
      <c r="C522" s="21">
        <f>IF(B522="","",IFERROR(INDEX(Listas!$B$2:$B$14,MATCH(B522,Listas!$A$2:$A$14,0)),"?"))</f>
        <v/>
      </c>
      <c r="D522" s="14" t="n"/>
      <c r="E522" s="14" t="n"/>
      <c r="F522" s="21">
        <f>IF(AND(D522="",E522=""),"",D522*60+E522)</f>
        <v/>
      </c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</row>
    <row r="523">
      <c r="A523" s="14" t="n"/>
      <c r="B523" s="14" t="n"/>
      <c r="C523" s="21">
        <f>IF(B523="","",IFERROR(INDEX(Listas!$B$2:$B$14,MATCH(B523,Listas!$A$2:$A$14,0)),"?"))</f>
        <v/>
      </c>
      <c r="D523" s="14" t="n"/>
      <c r="E523" s="14" t="n"/>
      <c r="F523" s="21">
        <f>IF(AND(D523="",E523=""),"",D523*60+E523)</f>
        <v/>
      </c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</row>
    <row r="524">
      <c r="A524" s="14" t="n"/>
      <c r="B524" s="14" t="n"/>
      <c r="C524" s="21">
        <f>IF(B524="","",IFERROR(INDEX(Listas!$B$2:$B$14,MATCH(B524,Listas!$A$2:$A$14,0)),"?"))</f>
        <v/>
      </c>
      <c r="D524" s="14" t="n"/>
      <c r="E524" s="14" t="n"/>
      <c r="F524" s="21">
        <f>IF(AND(D524="",E524=""),"",D524*60+E524)</f>
        <v/>
      </c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</row>
    <row r="525">
      <c r="A525" s="14" t="n"/>
      <c r="B525" s="14" t="n"/>
      <c r="C525" s="21">
        <f>IF(B525="","",IFERROR(INDEX(Listas!$B$2:$B$14,MATCH(B525,Listas!$A$2:$A$14,0)),"?"))</f>
        <v/>
      </c>
      <c r="D525" s="14" t="n"/>
      <c r="E525" s="14" t="n"/>
      <c r="F525" s="21">
        <f>IF(AND(D525="",E525=""),"",D525*60+E525)</f>
        <v/>
      </c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</row>
    <row r="526">
      <c r="A526" s="14" t="n"/>
      <c r="B526" s="14" t="n"/>
      <c r="C526" s="21">
        <f>IF(B526="","",IFERROR(INDEX(Listas!$B$2:$B$14,MATCH(B526,Listas!$A$2:$A$14,0)),"?"))</f>
        <v/>
      </c>
      <c r="D526" s="14" t="n"/>
      <c r="E526" s="14" t="n"/>
      <c r="F526" s="21">
        <f>IF(AND(D526="",E526=""),"",D526*60+E526)</f>
        <v/>
      </c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</row>
    <row r="527">
      <c r="A527" s="14" t="n"/>
      <c r="B527" s="14" t="n"/>
      <c r="C527" s="21">
        <f>IF(B527="","",IFERROR(INDEX(Listas!$B$2:$B$14,MATCH(B527,Listas!$A$2:$A$14,0)),"?"))</f>
        <v/>
      </c>
      <c r="D527" s="14" t="n"/>
      <c r="E527" s="14" t="n"/>
      <c r="F527" s="21">
        <f>IF(AND(D527="",E527=""),"",D527*60+E527)</f>
        <v/>
      </c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</row>
    <row r="528">
      <c r="A528" s="14" t="n"/>
      <c r="B528" s="14" t="n"/>
      <c r="C528" s="21">
        <f>IF(B528="","",IFERROR(INDEX(Listas!$B$2:$B$14,MATCH(B528,Listas!$A$2:$A$14,0)),"?"))</f>
        <v/>
      </c>
      <c r="D528" s="14" t="n"/>
      <c r="E528" s="14" t="n"/>
      <c r="F528" s="21">
        <f>IF(AND(D528="",E528=""),"",D528*60+E528)</f>
        <v/>
      </c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</row>
    <row r="529">
      <c r="A529" s="14" t="n"/>
      <c r="B529" s="14" t="n"/>
      <c r="C529" s="21">
        <f>IF(B529="","",IFERROR(INDEX(Listas!$B$2:$B$14,MATCH(B529,Listas!$A$2:$A$14,0)),"?"))</f>
        <v/>
      </c>
      <c r="D529" s="14" t="n"/>
      <c r="E529" s="14" t="n"/>
      <c r="F529" s="21">
        <f>IF(AND(D529="",E529=""),"",D529*60+E529)</f>
        <v/>
      </c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</row>
    <row r="530">
      <c r="A530" s="14" t="n"/>
      <c r="B530" s="14" t="n"/>
      <c r="C530" s="21">
        <f>IF(B530="","",IFERROR(INDEX(Listas!$B$2:$B$14,MATCH(B530,Listas!$A$2:$A$14,0)),"?"))</f>
        <v/>
      </c>
      <c r="D530" s="14" t="n"/>
      <c r="E530" s="14" t="n"/>
      <c r="F530" s="21">
        <f>IF(AND(D530="",E530=""),"",D530*60+E530)</f>
        <v/>
      </c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</row>
    <row r="531">
      <c r="A531" s="14" t="n"/>
      <c r="B531" s="14" t="n"/>
      <c r="C531" s="21">
        <f>IF(B531="","",IFERROR(INDEX(Listas!$B$2:$B$14,MATCH(B531,Listas!$A$2:$A$14,0)),"?"))</f>
        <v/>
      </c>
      <c r="D531" s="14" t="n"/>
      <c r="E531" s="14" t="n"/>
      <c r="F531" s="21">
        <f>IF(AND(D531="",E531=""),"",D531*60+E531)</f>
        <v/>
      </c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</row>
    <row r="532">
      <c r="A532" s="14" t="n"/>
      <c r="B532" s="14" t="n"/>
      <c r="C532" s="21">
        <f>IF(B532="","",IFERROR(INDEX(Listas!$B$2:$B$14,MATCH(B532,Listas!$A$2:$A$14,0)),"?"))</f>
        <v/>
      </c>
      <c r="D532" s="14" t="n"/>
      <c r="E532" s="14" t="n"/>
      <c r="F532" s="21">
        <f>IF(AND(D532="",E532=""),"",D532*60+E532)</f>
        <v/>
      </c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</row>
    <row r="533">
      <c r="A533" s="14" t="n"/>
      <c r="B533" s="14" t="n"/>
      <c r="C533" s="21">
        <f>IF(B533="","",IFERROR(INDEX(Listas!$B$2:$B$14,MATCH(B533,Listas!$A$2:$A$14,0)),"?"))</f>
        <v/>
      </c>
      <c r="D533" s="14" t="n"/>
      <c r="E533" s="14" t="n"/>
      <c r="F533" s="21">
        <f>IF(AND(D533="",E533=""),"",D533*60+E533)</f>
        <v/>
      </c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</row>
    <row r="534">
      <c r="A534" s="14" t="n"/>
      <c r="B534" s="14" t="n"/>
      <c r="C534" s="21">
        <f>IF(B534="","",IFERROR(INDEX(Listas!$B$2:$B$14,MATCH(B534,Listas!$A$2:$A$14,0)),"?"))</f>
        <v/>
      </c>
      <c r="D534" s="14" t="n"/>
      <c r="E534" s="14" t="n"/>
      <c r="F534" s="21">
        <f>IF(AND(D534="",E534=""),"",D534*60+E534)</f>
        <v/>
      </c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</row>
    <row r="535">
      <c r="A535" s="14" t="n"/>
      <c r="B535" s="14" t="n"/>
      <c r="C535" s="21">
        <f>IF(B535="","",IFERROR(INDEX(Listas!$B$2:$B$14,MATCH(B535,Listas!$A$2:$A$14,0)),"?"))</f>
        <v/>
      </c>
      <c r="D535" s="14" t="n"/>
      <c r="E535" s="14" t="n"/>
      <c r="F535" s="21">
        <f>IF(AND(D535="",E535=""),"",D535*60+E535)</f>
        <v/>
      </c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</row>
    <row r="536">
      <c r="A536" s="14" t="n"/>
      <c r="B536" s="14" t="n"/>
      <c r="C536" s="21">
        <f>IF(B536="","",IFERROR(INDEX(Listas!$B$2:$B$14,MATCH(B536,Listas!$A$2:$A$14,0)),"?"))</f>
        <v/>
      </c>
      <c r="D536" s="14" t="n"/>
      <c r="E536" s="14" t="n"/>
      <c r="F536" s="21">
        <f>IF(AND(D536="",E536=""),"",D536*60+E536)</f>
        <v/>
      </c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</row>
    <row r="537">
      <c r="A537" s="14" t="n"/>
      <c r="B537" s="14" t="n"/>
      <c r="C537" s="21">
        <f>IF(B537="","",IFERROR(INDEX(Listas!$B$2:$B$14,MATCH(B537,Listas!$A$2:$A$14,0)),"?"))</f>
        <v/>
      </c>
      <c r="D537" s="14" t="n"/>
      <c r="E537" s="14" t="n"/>
      <c r="F537" s="21">
        <f>IF(AND(D537="",E537=""),"",D537*60+E537)</f>
        <v/>
      </c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</row>
    <row r="538">
      <c r="A538" s="14" t="n"/>
      <c r="B538" s="14" t="n"/>
      <c r="C538" s="21">
        <f>IF(B538="","",IFERROR(INDEX(Listas!$B$2:$B$14,MATCH(B538,Listas!$A$2:$A$14,0)),"?"))</f>
        <v/>
      </c>
      <c r="D538" s="14" t="n"/>
      <c r="E538" s="14" t="n"/>
      <c r="F538" s="21">
        <f>IF(AND(D538="",E538=""),"",D538*60+E538)</f>
        <v/>
      </c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</row>
    <row r="539">
      <c r="A539" s="14" t="n"/>
      <c r="B539" s="14" t="n"/>
      <c r="C539" s="21">
        <f>IF(B539="","",IFERROR(INDEX(Listas!$B$2:$B$14,MATCH(B539,Listas!$A$2:$A$14,0)),"?"))</f>
        <v/>
      </c>
      <c r="D539" s="14" t="n"/>
      <c r="E539" s="14" t="n"/>
      <c r="F539" s="21">
        <f>IF(AND(D539="",E539=""),"",D539*60+E539)</f>
        <v/>
      </c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</row>
    <row r="540">
      <c r="A540" s="14" t="n"/>
      <c r="B540" s="14" t="n"/>
      <c r="C540" s="21">
        <f>IF(B540="","",IFERROR(INDEX(Listas!$B$2:$B$14,MATCH(B540,Listas!$A$2:$A$14,0)),"?"))</f>
        <v/>
      </c>
      <c r="D540" s="14" t="n"/>
      <c r="E540" s="14" t="n"/>
      <c r="F540" s="21">
        <f>IF(AND(D540="",E540=""),"",D540*60+E540)</f>
        <v/>
      </c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</row>
    <row r="541">
      <c r="A541" s="14" t="n"/>
      <c r="B541" s="14" t="n"/>
      <c r="C541" s="21">
        <f>IF(B541="","",IFERROR(INDEX(Listas!$B$2:$B$14,MATCH(B541,Listas!$A$2:$A$14,0)),"?"))</f>
        <v/>
      </c>
      <c r="D541" s="14" t="n"/>
      <c r="E541" s="14" t="n"/>
      <c r="F541" s="21">
        <f>IF(AND(D541="",E541=""),"",D541*60+E541)</f>
        <v/>
      </c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</row>
    <row r="542">
      <c r="A542" s="14" t="n"/>
      <c r="B542" s="14" t="n"/>
      <c r="C542" s="21">
        <f>IF(B542="","",IFERROR(INDEX(Listas!$B$2:$B$14,MATCH(B542,Listas!$A$2:$A$14,0)),"?"))</f>
        <v/>
      </c>
      <c r="D542" s="14" t="n"/>
      <c r="E542" s="14" t="n"/>
      <c r="F542" s="21">
        <f>IF(AND(D542="",E542=""),"",D542*60+E542)</f>
        <v/>
      </c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</row>
    <row r="543">
      <c r="A543" s="14" t="n"/>
      <c r="B543" s="14" t="n"/>
      <c r="C543" s="21">
        <f>IF(B543="","",IFERROR(INDEX(Listas!$B$2:$B$14,MATCH(B543,Listas!$A$2:$A$14,0)),"?"))</f>
        <v/>
      </c>
      <c r="D543" s="14" t="n"/>
      <c r="E543" s="14" t="n"/>
      <c r="F543" s="21">
        <f>IF(AND(D543="",E543=""),"",D543*60+E543)</f>
        <v/>
      </c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</row>
    <row r="544">
      <c r="A544" s="14" t="n"/>
      <c r="B544" s="14" t="n"/>
      <c r="C544" s="21">
        <f>IF(B544="","",IFERROR(INDEX(Listas!$B$2:$B$14,MATCH(B544,Listas!$A$2:$A$14,0)),"?"))</f>
        <v/>
      </c>
      <c r="D544" s="14" t="n"/>
      <c r="E544" s="14" t="n"/>
      <c r="F544" s="21">
        <f>IF(AND(D544="",E544=""),"",D544*60+E544)</f>
        <v/>
      </c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</row>
    <row r="545">
      <c r="A545" s="14" t="n"/>
      <c r="B545" s="14" t="n"/>
      <c r="C545" s="21">
        <f>IF(B545="","",IFERROR(INDEX(Listas!$B$2:$B$14,MATCH(B545,Listas!$A$2:$A$14,0)),"?"))</f>
        <v/>
      </c>
      <c r="D545" s="14" t="n"/>
      <c r="E545" s="14" t="n"/>
      <c r="F545" s="21">
        <f>IF(AND(D545="",E545=""),"",D545*60+E545)</f>
        <v/>
      </c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</row>
    <row r="546">
      <c r="A546" s="14" t="n"/>
      <c r="B546" s="14" t="n"/>
      <c r="C546" s="21">
        <f>IF(B546="","",IFERROR(INDEX(Listas!$B$2:$B$14,MATCH(B546,Listas!$A$2:$A$14,0)),"?"))</f>
        <v/>
      </c>
      <c r="D546" s="14" t="n"/>
      <c r="E546" s="14" t="n"/>
      <c r="F546" s="21">
        <f>IF(AND(D546="",E546=""),"",D546*60+E546)</f>
        <v/>
      </c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</row>
    <row r="547">
      <c r="A547" s="14" t="n"/>
      <c r="B547" s="14" t="n"/>
      <c r="C547" s="21">
        <f>IF(B547="","",IFERROR(INDEX(Listas!$B$2:$B$14,MATCH(B547,Listas!$A$2:$A$14,0)),"?"))</f>
        <v/>
      </c>
      <c r="D547" s="14" t="n"/>
      <c r="E547" s="14" t="n"/>
      <c r="F547" s="21">
        <f>IF(AND(D547="",E547=""),"",D547*60+E547)</f>
        <v/>
      </c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</row>
    <row r="548">
      <c r="A548" s="14" t="n"/>
      <c r="B548" s="14" t="n"/>
      <c r="C548" s="21">
        <f>IF(B548="","",IFERROR(INDEX(Listas!$B$2:$B$14,MATCH(B548,Listas!$A$2:$A$14,0)),"?"))</f>
        <v/>
      </c>
      <c r="D548" s="14" t="n"/>
      <c r="E548" s="14" t="n"/>
      <c r="F548" s="21">
        <f>IF(AND(D548="",E548=""),"",D548*60+E548)</f>
        <v/>
      </c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</row>
    <row r="549">
      <c r="A549" s="14" t="n"/>
      <c r="B549" s="14" t="n"/>
      <c r="C549" s="21">
        <f>IF(B549="","",IFERROR(INDEX(Listas!$B$2:$B$14,MATCH(B549,Listas!$A$2:$A$14,0)),"?"))</f>
        <v/>
      </c>
      <c r="D549" s="14" t="n"/>
      <c r="E549" s="14" t="n"/>
      <c r="F549" s="21">
        <f>IF(AND(D549="",E549=""),"",D549*60+E549)</f>
        <v/>
      </c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</row>
    <row r="550">
      <c r="A550" s="14" t="n"/>
      <c r="B550" s="14" t="n"/>
      <c r="C550" s="21">
        <f>IF(B550="","",IFERROR(INDEX(Listas!$B$2:$B$14,MATCH(B550,Listas!$A$2:$A$14,0)),"?"))</f>
        <v/>
      </c>
      <c r="D550" s="14" t="n"/>
      <c r="E550" s="14" t="n"/>
      <c r="F550" s="21">
        <f>IF(AND(D550="",E550=""),"",D550*60+E550)</f>
        <v/>
      </c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</row>
    <row r="551">
      <c r="A551" s="14" t="n"/>
      <c r="B551" s="14" t="n"/>
      <c r="C551" s="21">
        <f>IF(B551="","",IFERROR(INDEX(Listas!$B$2:$B$14,MATCH(B551,Listas!$A$2:$A$14,0)),"?"))</f>
        <v/>
      </c>
      <c r="D551" s="14" t="n"/>
      <c r="E551" s="14" t="n"/>
      <c r="F551" s="21">
        <f>IF(AND(D551="",E551=""),"",D551*60+E551)</f>
        <v/>
      </c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</row>
    <row r="552">
      <c r="A552" s="14" t="n"/>
      <c r="B552" s="14" t="n"/>
      <c r="C552" s="21">
        <f>IF(B552="","",IFERROR(INDEX(Listas!$B$2:$B$14,MATCH(B552,Listas!$A$2:$A$14,0)),"?"))</f>
        <v/>
      </c>
      <c r="D552" s="14" t="n"/>
      <c r="E552" s="14" t="n"/>
      <c r="F552" s="21">
        <f>IF(AND(D552="",E552=""),"",D552*60+E552)</f>
        <v/>
      </c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</row>
    <row r="553">
      <c r="A553" s="14" t="n"/>
      <c r="B553" s="14" t="n"/>
      <c r="C553" s="21">
        <f>IF(B553="","",IFERROR(INDEX(Listas!$B$2:$B$14,MATCH(B553,Listas!$A$2:$A$14,0)),"?"))</f>
        <v/>
      </c>
      <c r="D553" s="14" t="n"/>
      <c r="E553" s="14" t="n"/>
      <c r="F553" s="21">
        <f>IF(AND(D553="",E553=""),"",D553*60+E553)</f>
        <v/>
      </c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</row>
    <row r="554">
      <c r="A554" s="14" t="n"/>
      <c r="B554" s="14" t="n"/>
      <c r="C554" s="21">
        <f>IF(B554="","",IFERROR(INDEX(Listas!$B$2:$B$14,MATCH(B554,Listas!$A$2:$A$14,0)),"?"))</f>
        <v/>
      </c>
      <c r="D554" s="14" t="n"/>
      <c r="E554" s="14" t="n"/>
      <c r="F554" s="21">
        <f>IF(AND(D554="",E554=""),"",D554*60+E554)</f>
        <v/>
      </c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</row>
    <row r="555">
      <c r="A555" s="14" t="n"/>
      <c r="B555" s="14" t="n"/>
      <c r="C555" s="21">
        <f>IF(B555="","",IFERROR(INDEX(Listas!$B$2:$B$14,MATCH(B555,Listas!$A$2:$A$14,0)),"?"))</f>
        <v/>
      </c>
      <c r="D555" s="14" t="n"/>
      <c r="E555" s="14" t="n"/>
      <c r="F555" s="21">
        <f>IF(AND(D555="",E555=""),"",D555*60+E555)</f>
        <v/>
      </c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</row>
    <row r="556">
      <c r="A556" s="14" t="n"/>
      <c r="B556" s="14" t="n"/>
      <c r="C556" s="21">
        <f>IF(B556="","",IFERROR(INDEX(Listas!$B$2:$B$14,MATCH(B556,Listas!$A$2:$A$14,0)),"?"))</f>
        <v/>
      </c>
      <c r="D556" s="14" t="n"/>
      <c r="E556" s="14" t="n"/>
      <c r="F556" s="21">
        <f>IF(AND(D556="",E556=""),"",D556*60+E556)</f>
        <v/>
      </c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</row>
    <row r="557">
      <c r="A557" s="14" t="n"/>
      <c r="B557" s="14" t="n"/>
      <c r="C557" s="21">
        <f>IF(B557="","",IFERROR(INDEX(Listas!$B$2:$B$14,MATCH(B557,Listas!$A$2:$A$14,0)),"?"))</f>
        <v/>
      </c>
      <c r="D557" s="14" t="n"/>
      <c r="E557" s="14" t="n"/>
      <c r="F557" s="21">
        <f>IF(AND(D557="",E557=""),"",D557*60+E557)</f>
        <v/>
      </c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</row>
    <row r="558">
      <c r="A558" s="14" t="n"/>
      <c r="B558" s="14" t="n"/>
      <c r="C558" s="21">
        <f>IF(B558="","",IFERROR(INDEX(Listas!$B$2:$B$14,MATCH(B558,Listas!$A$2:$A$14,0)),"?"))</f>
        <v/>
      </c>
      <c r="D558" s="14" t="n"/>
      <c r="E558" s="14" t="n"/>
      <c r="F558" s="21">
        <f>IF(AND(D558="",E558=""),"",D558*60+E558)</f>
        <v/>
      </c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</row>
    <row r="559">
      <c r="A559" s="14" t="n"/>
      <c r="B559" s="14" t="n"/>
      <c r="C559" s="21">
        <f>IF(B559="","",IFERROR(INDEX(Listas!$B$2:$B$14,MATCH(B559,Listas!$A$2:$A$14,0)),"?"))</f>
        <v/>
      </c>
      <c r="D559" s="14" t="n"/>
      <c r="E559" s="14" t="n"/>
      <c r="F559" s="21">
        <f>IF(AND(D559="",E559=""),"",D559*60+E559)</f>
        <v/>
      </c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</row>
    <row r="560">
      <c r="A560" s="14" t="n"/>
      <c r="B560" s="14" t="n"/>
      <c r="C560" s="21">
        <f>IF(B560="","",IFERROR(INDEX(Listas!$B$2:$B$14,MATCH(B560,Listas!$A$2:$A$14,0)),"?"))</f>
        <v/>
      </c>
      <c r="D560" s="14" t="n"/>
      <c r="E560" s="14" t="n"/>
      <c r="F560" s="21">
        <f>IF(AND(D560="",E560=""),"",D560*60+E560)</f>
        <v/>
      </c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</row>
    <row r="561">
      <c r="A561" s="14" t="n"/>
      <c r="B561" s="14" t="n"/>
      <c r="C561" s="21">
        <f>IF(B561="","",IFERROR(INDEX(Listas!$B$2:$B$14,MATCH(B561,Listas!$A$2:$A$14,0)),"?"))</f>
        <v/>
      </c>
      <c r="D561" s="14" t="n"/>
      <c r="E561" s="14" t="n"/>
      <c r="F561" s="21">
        <f>IF(AND(D561="",E561=""),"",D561*60+E561)</f>
        <v/>
      </c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</row>
    <row r="562">
      <c r="A562" s="14" t="n"/>
      <c r="B562" s="14" t="n"/>
      <c r="C562" s="21">
        <f>IF(B562="","",IFERROR(INDEX(Listas!$B$2:$B$14,MATCH(B562,Listas!$A$2:$A$14,0)),"?"))</f>
        <v/>
      </c>
      <c r="D562" s="14" t="n"/>
      <c r="E562" s="14" t="n"/>
      <c r="F562" s="21">
        <f>IF(AND(D562="",E562=""),"",D562*60+E562)</f>
        <v/>
      </c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</row>
    <row r="563">
      <c r="A563" s="14" t="n"/>
      <c r="B563" s="14" t="n"/>
      <c r="C563" s="21">
        <f>IF(B563="","",IFERROR(INDEX(Listas!$B$2:$B$14,MATCH(B563,Listas!$A$2:$A$14,0)),"?"))</f>
        <v/>
      </c>
      <c r="D563" s="14" t="n"/>
      <c r="E563" s="14" t="n"/>
      <c r="F563" s="21">
        <f>IF(AND(D563="",E563=""),"",D563*60+E563)</f>
        <v/>
      </c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</row>
    <row r="564">
      <c r="A564" s="14" t="n"/>
      <c r="B564" s="14" t="n"/>
      <c r="C564" s="21">
        <f>IF(B564="","",IFERROR(INDEX(Listas!$B$2:$B$14,MATCH(B564,Listas!$A$2:$A$14,0)),"?"))</f>
        <v/>
      </c>
      <c r="D564" s="14" t="n"/>
      <c r="E564" s="14" t="n"/>
      <c r="F564" s="21">
        <f>IF(AND(D564="",E564=""),"",D564*60+E564)</f>
        <v/>
      </c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</row>
    <row r="565">
      <c r="A565" s="14" t="n"/>
      <c r="B565" s="14" t="n"/>
      <c r="C565" s="21">
        <f>IF(B565="","",IFERROR(INDEX(Listas!$B$2:$B$14,MATCH(B565,Listas!$A$2:$A$14,0)),"?"))</f>
        <v/>
      </c>
      <c r="D565" s="14" t="n"/>
      <c r="E565" s="14" t="n"/>
      <c r="F565" s="21">
        <f>IF(AND(D565="",E565=""),"",D565*60+E565)</f>
        <v/>
      </c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</row>
    <row r="566">
      <c r="A566" s="14" t="n"/>
      <c r="B566" s="14" t="n"/>
      <c r="C566" s="21">
        <f>IF(B566="","",IFERROR(INDEX(Listas!$B$2:$B$14,MATCH(B566,Listas!$A$2:$A$14,0)),"?"))</f>
        <v/>
      </c>
      <c r="D566" s="14" t="n"/>
      <c r="E566" s="14" t="n"/>
      <c r="F566" s="21">
        <f>IF(AND(D566="",E566=""),"",D566*60+E566)</f>
        <v/>
      </c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</row>
    <row r="567">
      <c r="A567" s="14" t="n"/>
      <c r="B567" s="14" t="n"/>
      <c r="C567" s="21">
        <f>IF(B567="","",IFERROR(INDEX(Listas!$B$2:$B$14,MATCH(B567,Listas!$A$2:$A$14,0)),"?"))</f>
        <v/>
      </c>
      <c r="D567" s="14" t="n"/>
      <c r="E567" s="14" t="n"/>
      <c r="F567" s="21">
        <f>IF(AND(D567="",E567=""),"",D567*60+E567)</f>
        <v/>
      </c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</row>
    <row r="568">
      <c r="A568" s="14" t="n"/>
      <c r="B568" s="14" t="n"/>
      <c r="C568" s="21">
        <f>IF(B568="","",IFERROR(INDEX(Listas!$B$2:$B$14,MATCH(B568,Listas!$A$2:$A$14,0)),"?"))</f>
        <v/>
      </c>
      <c r="D568" s="14" t="n"/>
      <c r="E568" s="14" t="n"/>
      <c r="F568" s="21">
        <f>IF(AND(D568="",E568=""),"",D568*60+E568)</f>
        <v/>
      </c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</row>
    <row r="569">
      <c r="A569" s="14" t="n"/>
      <c r="B569" s="14" t="n"/>
      <c r="C569" s="21">
        <f>IF(B569="","",IFERROR(INDEX(Listas!$B$2:$B$14,MATCH(B569,Listas!$A$2:$A$14,0)),"?"))</f>
        <v/>
      </c>
      <c r="D569" s="14" t="n"/>
      <c r="E569" s="14" t="n"/>
      <c r="F569" s="21">
        <f>IF(AND(D569="",E569=""),"",D569*60+E569)</f>
        <v/>
      </c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</row>
    <row r="570">
      <c r="A570" s="14" t="n"/>
      <c r="B570" s="14" t="n"/>
      <c r="C570" s="21">
        <f>IF(B570="","",IFERROR(INDEX(Listas!$B$2:$B$14,MATCH(B570,Listas!$A$2:$A$14,0)),"?"))</f>
        <v/>
      </c>
      <c r="D570" s="14" t="n"/>
      <c r="E570" s="14" t="n"/>
      <c r="F570" s="21">
        <f>IF(AND(D570="",E570=""),"",D570*60+E570)</f>
        <v/>
      </c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</row>
    <row r="571">
      <c r="A571" s="14" t="n"/>
      <c r="B571" s="14" t="n"/>
      <c r="C571" s="21">
        <f>IF(B571="","",IFERROR(INDEX(Listas!$B$2:$B$14,MATCH(B571,Listas!$A$2:$A$14,0)),"?"))</f>
        <v/>
      </c>
      <c r="D571" s="14" t="n"/>
      <c r="E571" s="14" t="n"/>
      <c r="F571" s="21">
        <f>IF(AND(D571="",E571=""),"",D571*60+E571)</f>
        <v/>
      </c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</row>
    <row r="572">
      <c r="A572" s="14" t="n"/>
      <c r="B572" s="14" t="n"/>
      <c r="C572" s="21">
        <f>IF(B572="","",IFERROR(INDEX(Listas!$B$2:$B$14,MATCH(B572,Listas!$A$2:$A$14,0)),"?"))</f>
        <v/>
      </c>
      <c r="D572" s="14" t="n"/>
      <c r="E572" s="14" t="n"/>
      <c r="F572" s="21">
        <f>IF(AND(D572="",E572=""),"",D572*60+E572)</f>
        <v/>
      </c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</row>
    <row r="573">
      <c r="A573" s="14" t="n"/>
      <c r="B573" s="14" t="n"/>
      <c r="C573" s="21">
        <f>IF(B573="","",IFERROR(INDEX(Listas!$B$2:$B$14,MATCH(B573,Listas!$A$2:$A$14,0)),"?"))</f>
        <v/>
      </c>
      <c r="D573" s="14" t="n"/>
      <c r="E573" s="14" t="n"/>
      <c r="F573" s="21">
        <f>IF(AND(D573="",E573=""),"",D573*60+E573)</f>
        <v/>
      </c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</row>
    <row r="574">
      <c r="A574" s="14" t="n"/>
      <c r="B574" s="14" t="n"/>
      <c r="C574" s="21">
        <f>IF(B574="","",IFERROR(INDEX(Listas!$B$2:$B$14,MATCH(B574,Listas!$A$2:$A$14,0)),"?"))</f>
        <v/>
      </c>
      <c r="D574" s="14" t="n"/>
      <c r="E574" s="14" t="n"/>
      <c r="F574" s="21">
        <f>IF(AND(D574="",E574=""),"",D574*60+E574)</f>
        <v/>
      </c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</row>
    <row r="575">
      <c r="A575" s="14" t="n"/>
      <c r="B575" s="14" t="n"/>
      <c r="C575" s="21">
        <f>IF(B575="","",IFERROR(INDEX(Listas!$B$2:$B$14,MATCH(B575,Listas!$A$2:$A$14,0)),"?"))</f>
        <v/>
      </c>
      <c r="D575" s="14" t="n"/>
      <c r="E575" s="14" t="n"/>
      <c r="F575" s="21">
        <f>IF(AND(D575="",E575=""),"",D575*60+E575)</f>
        <v/>
      </c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</row>
    <row r="576">
      <c r="A576" s="14" t="n"/>
      <c r="B576" s="14" t="n"/>
      <c r="C576" s="21">
        <f>IF(B576="","",IFERROR(INDEX(Listas!$B$2:$B$14,MATCH(B576,Listas!$A$2:$A$14,0)),"?"))</f>
        <v/>
      </c>
      <c r="D576" s="14" t="n"/>
      <c r="E576" s="14" t="n"/>
      <c r="F576" s="21">
        <f>IF(AND(D576="",E576=""),"",D576*60+E576)</f>
        <v/>
      </c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</row>
    <row r="577">
      <c r="A577" s="14" t="n"/>
      <c r="B577" s="14" t="n"/>
      <c r="C577" s="21">
        <f>IF(B577="","",IFERROR(INDEX(Listas!$B$2:$B$14,MATCH(B577,Listas!$A$2:$A$14,0)),"?"))</f>
        <v/>
      </c>
      <c r="D577" s="14" t="n"/>
      <c r="E577" s="14" t="n"/>
      <c r="F577" s="21">
        <f>IF(AND(D577="",E577=""),"",D577*60+E577)</f>
        <v/>
      </c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</row>
    <row r="578">
      <c r="A578" s="14" t="n"/>
      <c r="B578" s="14" t="n"/>
      <c r="C578" s="21">
        <f>IF(B578="","",IFERROR(INDEX(Listas!$B$2:$B$14,MATCH(B578,Listas!$A$2:$A$14,0)),"?"))</f>
        <v/>
      </c>
      <c r="D578" s="14" t="n"/>
      <c r="E578" s="14" t="n"/>
      <c r="F578" s="21">
        <f>IF(AND(D578="",E578=""),"",D578*60+E578)</f>
        <v/>
      </c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</row>
    <row r="579">
      <c r="A579" s="14" t="n"/>
      <c r="B579" s="14" t="n"/>
      <c r="C579" s="21">
        <f>IF(B579="","",IFERROR(INDEX(Listas!$B$2:$B$14,MATCH(B579,Listas!$A$2:$A$14,0)),"?"))</f>
        <v/>
      </c>
      <c r="D579" s="14" t="n"/>
      <c r="E579" s="14" t="n"/>
      <c r="F579" s="21">
        <f>IF(AND(D579="",E579=""),"",D579*60+E579)</f>
        <v/>
      </c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</row>
    <row r="580">
      <c r="A580" s="14" t="n"/>
      <c r="B580" s="14" t="n"/>
      <c r="C580" s="21">
        <f>IF(B580="","",IFERROR(INDEX(Listas!$B$2:$B$14,MATCH(B580,Listas!$A$2:$A$14,0)),"?"))</f>
        <v/>
      </c>
      <c r="D580" s="14" t="n"/>
      <c r="E580" s="14" t="n"/>
      <c r="F580" s="21">
        <f>IF(AND(D580="",E580=""),"",D580*60+E580)</f>
        <v/>
      </c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</row>
    <row r="581">
      <c r="A581" s="14" t="n"/>
      <c r="B581" s="14" t="n"/>
      <c r="C581" s="21">
        <f>IF(B581="","",IFERROR(INDEX(Listas!$B$2:$B$14,MATCH(B581,Listas!$A$2:$A$14,0)),"?"))</f>
        <v/>
      </c>
      <c r="D581" s="14" t="n"/>
      <c r="E581" s="14" t="n"/>
      <c r="F581" s="21">
        <f>IF(AND(D581="",E581=""),"",D581*60+E581)</f>
        <v/>
      </c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</row>
    <row r="582">
      <c r="A582" s="14" t="n"/>
      <c r="B582" s="14" t="n"/>
      <c r="C582" s="21">
        <f>IF(B582="","",IFERROR(INDEX(Listas!$B$2:$B$14,MATCH(B582,Listas!$A$2:$A$14,0)),"?"))</f>
        <v/>
      </c>
      <c r="D582" s="14" t="n"/>
      <c r="E582" s="14" t="n"/>
      <c r="F582" s="21">
        <f>IF(AND(D582="",E582=""),"",D582*60+E582)</f>
        <v/>
      </c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</row>
    <row r="583">
      <c r="A583" s="14" t="n"/>
      <c r="B583" s="14" t="n"/>
      <c r="C583" s="21">
        <f>IF(B583="","",IFERROR(INDEX(Listas!$B$2:$B$14,MATCH(B583,Listas!$A$2:$A$14,0)),"?"))</f>
        <v/>
      </c>
      <c r="D583" s="14" t="n"/>
      <c r="E583" s="14" t="n"/>
      <c r="F583" s="21">
        <f>IF(AND(D583="",E583=""),"",D583*60+E583)</f>
        <v/>
      </c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</row>
    <row r="584">
      <c r="A584" s="14" t="n"/>
      <c r="B584" s="14" t="n"/>
      <c r="C584" s="21">
        <f>IF(B584="","",IFERROR(INDEX(Listas!$B$2:$B$14,MATCH(B584,Listas!$A$2:$A$14,0)),"?"))</f>
        <v/>
      </c>
      <c r="D584" s="14" t="n"/>
      <c r="E584" s="14" t="n"/>
      <c r="F584" s="21">
        <f>IF(AND(D584="",E584=""),"",D584*60+E584)</f>
        <v/>
      </c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</row>
    <row r="585">
      <c r="A585" s="14" t="n"/>
      <c r="B585" s="14" t="n"/>
      <c r="C585" s="21">
        <f>IF(B585="","",IFERROR(INDEX(Listas!$B$2:$B$14,MATCH(B585,Listas!$A$2:$A$14,0)),"?"))</f>
        <v/>
      </c>
      <c r="D585" s="14" t="n"/>
      <c r="E585" s="14" t="n"/>
      <c r="F585" s="21">
        <f>IF(AND(D585="",E585=""),"",D585*60+E585)</f>
        <v/>
      </c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</row>
    <row r="586">
      <c r="A586" s="14" t="n"/>
      <c r="B586" s="14" t="n"/>
      <c r="C586" s="21">
        <f>IF(B586="","",IFERROR(INDEX(Listas!$B$2:$B$14,MATCH(B586,Listas!$A$2:$A$14,0)),"?"))</f>
        <v/>
      </c>
      <c r="D586" s="14" t="n"/>
      <c r="E586" s="14" t="n"/>
      <c r="F586" s="21">
        <f>IF(AND(D586="",E586=""),"",D586*60+E586)</f>
        <v/>
      </c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</row>
    <row r="587">
      <c r="A587" s="14" t="n"/>
      <c r="B587" s="14" t="n"/>
      <c r="C587" s="21">
        <f>IF(B587="","",IFERROR(INDEX(Listas!$B$2:$B$14,MATCH(B587,Listas!$A$2:$A$14,0)),"?"))</f>
        <v/>
      </c>
      <c r="D587" s="14" t="n"/>
      <c r="E587" s="14" t="n"/>
      <c r="F587" s="21">
        <f>IF(AND(D587="",E587=""),"",D587*60+E587)</f>
        <v/>
      </c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</row>
    <row r="588">
      <c r="A588" s="14" t="n"/>
      <c r="B588" s="14" t="n"/>
      <c r="C588" s="21">
        <f>IF(B588="","",IFERROR(INDEX(Listas!$B$2:$B$14,MATCH(B588,Listas!$A$2:$A$14,0)),"?"))</f>
        <v/>
      </c>
      <c r="D588" s="14" t="n"/>
      <c r="E588" s="14" t="n"/>
      <c r="F588" s="21">
        <f>IF(AND(D588="",E588=""),"",D588*60+E588)</f>
        <v/>
      </c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</row>
    <row r="589">
      <c r="A589" s="14" t="n"/>
      <c r="B589" s="14" t="n"/>
      <c r="C589" s="21">
        <f>IF(B589="","",IFERROR(INDEX(Listas!$B$2:$B$14,MATCH(B589,Listas!$A$2:$A$14,0)),"?"))</f>
        <v/>
      </c>
      <c r="D589" s="14" t="n"/>
      <c r="E589" s="14" t="n"/>
      <c r="F589" s="21">
        <f>IF(AND(D589="",E589=""),"",D589*60+E589)</f>
        <v/>
      </c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</row>
    <row r="590">
      <c r="A590" s="14" t="n"/>
      <c r="B590" s="14" t="n"/>
      <c r="C590" s="21">
        <f>IF(B590="","",IFERROR(INDEX(Listas!$B$2:$B$14,MATCH(B590,Listas!$A$2:$A$14,0)),"?"))</f>
        <v/>
      </c>
      <c r="D590" s="14" t="n"/>
      <c r="E590" s="14" t="n"/>
      <c r="F590" s="21">
        <f>IF(AND(D590="",E590=""),"",D590*60+E590)</f>
        <v/>
      </c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</row>
    <row r="591">
      <c r="A591" s="14" t="n"/>
      <c r="B591" s="14" t="n"/>
      <c r="C591" s="21">
        <f>IF(B591="","",IFERROR(INDEX(Listas!$B$2:$B$14,MATCH(B591,Listas!$A$2:$A$14,0)),"?"))</f>
        <v/>
      </c>
      <c r="D591" s="14" t="n"/>
      <c r="E591" s="14" t="n"/>
      <c r="F591" s="21">
        <f>IF(AND(D591="",E591=""),"",D591*60+E591)</f>
        <v/>
      </c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</row>
    <row r="592">
      <c r="A592" s="14" t="n"/>
      <c r="B592" s="14" t="n"/>
      <c r="C592" s="21">
        <f>IF(B592="","",IFERROR(INDEX(Listas!$B$2:$B$14,MATCH(B592,Listas!$A$2:$A$14,0)),"?"))</f>
        <v/>
      </c>
      <c r="D592" s="14" t="n"/>
      <c r="E592" s="14" t="n"/>
      <c r="F592" s="21">
        <f>IF(AND(D592="",E592=""),"",D592*60+E592)</f>
        <v/>
      </c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</row>
    <row r="593">
      <c r="A593" s="14" t="n"/>
      <c r="B593" s="14" t="n"/>
      <c r="C593" s="21">
        <f>IF(B593="","",IFERROR(INDEX(Listas!$B$2:$B$14,MATCH(B593,Listas!$A$2:$A$14,0)),"?"))</f>
        <v/>
      </c>
      <c r="D593" s="14" t="n"/>
      <c r="E593" s="14" t="n"/>
      <c r="F593" s="21">
        <f>IF(AND(D593="",E593=""),"",D593*60+E593)</f>
        <v/>
      </c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</row>
    <row r="594">
      <c r="A594" s="14" t="n"/>
      <c r="B594" s="14" t="n"/>
      <c r="C594" s="21">
        <f>IF(B594="","",IFERROR(INDEX(Listas!$B$2:$B$14,MATCH(B594,Listas!$A$2:$A$14,0)),"?"))</f>
        <v/>
      </c>
      <c r="D594" s="14" t="n"/>
      <c r="E594" s="14" t="n"/>
      <c r="F594" s="21">
        <f>IF(AND(D594="",E594=""),"",D594*60+E594)</f>
        <v/>
      </c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</row>
    <row r="595">
      <c r="A595" s="14" t="n"/>
      <c r="B595" s="14" t="n"/>
      <c r="C595" s="21">
        <f>IF(B595="","",IFERROR(INDEX(Listas!$B$2:$B$14,MATCH(B595,Listas!$A$2:$A$14,0)),"?"))</f>
        <v/>
      </c>
      <c r="D595" s="14" t="n"/>
      <c r="E595" s="14" t="n"/>
      <c r="F595" s="21">
        <f>IF(AND(D595="",E595=""),"",D595*60+E595)</f>
        <v/>
      </c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</row>
    <row r="596">
      <c r="A596" s="14" t="n"/>
      <c r="B596" s="14" t="n"/>
      <c r="C596" s="21">
        <f>IF(B596="","",IFERROR(INDEX(Listas!$B$2:$B$14,MATCH(B596,Listas!$A$2:$A$14,0)),"?"))</f>
        <v/>
      </c>
      <c r="D596" s="14" t="n"/>
      <c r="E596" s="14" t="n"/>
      <c r="F596" s="21">
        <f>IF(AND(D596="",E596=""),"",D596*60+E596)</f>
        <v/>
      </c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</row>
    <row r="597">
      <c r="A597" s="14" t="n"/>
      <c r="B597" s="14" t="n"/>
      <c r="C597" s="21">
        <f>IF(B597="","",IFERROR(INDEX(Listas!$B$2:$B$14,MATCH(B597,Listas!$A$2:$A$14,0)),"?"))</f>
        <v/>
      </c>
      <c r="D597" s="14" t="n"/>
      <c r="E597" s="14" t="n"/>
      <c r="F597" s="21">
        <f>IF(AND(D597="",E597=""),"",D597*60+E597)</f>
        <v/>
      </c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</row>
    <row r="598">
      <c r="A598" s="14" t="n"/>
      <c r="B598" s="14" t="n"/>
      <c r="C598" s="21">
        <f>IF(B598="","",IFERROR(INDEX(Listas!$B$2:$B$14,MATCH(B598,Listas!$A$2:$A$14,0)),"?"))</f>
        <v/>
      </c>
      <c r="D598" s="14" t="n"/>
      <c r="E598" s="14" t="n"/>
      <c r="F598" s="21">
        <f>IF(AND(D598="",E598=""),"",D598*60+E598)</f>
        <v/>
      </c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</row>
    <row r="599">
      <c r="A599" s="14" t="n"/>
      <c r="B599" s="14" t="n"/>
      <c r="C599" s="21">
        <f>IF(B599="","",IFERROR(INDEX(Listas!$B$2:$B$14,MATCH(B599,Listas!$A$2:$A$14,0)),"?"))</f>
        <v/>
      </c>
      <c r="D599" s="14" t="n"/>
      <c r="E599" s="14" t="n"/>
      <c r="F599" s="21">
        <f>IF(AND(D599="",E599=""),"",D599*60+E599)</f>
        <v/>
      </c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</row>
    <row r="600">
      <c r="A600" s="14" t="n"/>
      <c r="B600" s="14" t="n"/>
      <c r="C600" s="21">
        <f>IF(B600="","",IFERROR(INDEX(Listas!$B$2:$B$14,MATCH(B600,Listas!$A$2:$A$14,0)),"?"))</f>
        <v/>
      </c>
      <c r="D600" s="14" t="n"/>
      <c r="E600" s="14" t="n"/>
      <c r="F600" s="21">
        <f>IF(AND(D600="",E600=""),"",D600*60+E600)</f>
        <v/>
      </c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</row>
    <row r="601">
      <c r="A601" s="14" t="n"/>
      <c r="B601" s="14" t="n"/>
      <c r="C601" s="21">
        <f>IF(B601="","",IFERROR(INDEX(Listas!$B$2:$B$14,MATCH(B601,Listas!$A$2:$A$14,0)),"?"))</f>
        <v/>
      </c>
      <c r="D601" s="14" t="n"/>
      <c r="E601" s="14" t="n"/>
      <c r="F601" s="21">
        <f>IF(AND(D601="",E601=""),"",D601*60+E601)</f>
        <v/>
      </c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</row>
    <row r="602">
      <c r="A602" s="14" t="n"/>
      <c r="B602" s="14" t="n"/>
      <c r="C602" s="21">
        <f>IF(B602="","",IFERROR(INDEX(Listas!$B$2:$B$14,MATCH(B602,Listas!$A$2:$A$14,0)),"?"))</f>
        <v/>
      </c>
      <c r="D602" s="14" t="n"/>
      <c r="E602" s="14" t="n"/>
      <c r="F602" s="21">
        <f>IF(AND(D602="",E602=""),"",D602*60+E602)</f>
        <v/>
      </c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</row>
    <row r="603">
      <c r="A603" s="14" t="n"/>
      <c r="B603" s="14" t="n"/>
      <c r="C603" s="21">
        <f>IF(B603="","",IFERROR(INDEX(Listas!$B$2:$B$14,MATCH(B603,Listas!$A$2:$A$14,0)),"?"))</f>
        <v/>
      </c>
      <c r="D603" s="14" t="n"/>
      <c r="E603" s="14" t="n"/>
      <c r="F603" s="21">
        <f>IF(AND(D603="",E603=""),"",D603*60+E603)</f>
        <v/>
      </c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</row>
    <row r="604">
      <c r="A604" s="14" t="n"/>
      <c r="B604" s="14" t="n"/>
      <c r="C604" s="21">
        <f>IF(B604="","",IFERROR(INDEX(Listas!$B$2:$B$14,MATCH(B604,Listas!$A$2:$A$14,0)),"?"))</f>
        <v/>
      </c>
      <c r="D604" s="14" t="n"/>
      <c r="E604" s="14" t="n"/>
      <c r="F604" s="21">
        <f>IF(AND(D604="",E604=""),"",D604*60+E604)</f>
        <v/>
      </c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</row>
    <row r="605">
      <c r="A605" s="14" t="n"/>
      <c r="B605" s="14" t="n"/>
      <c r="C605" s="21">
        <f>IF(B605="","",IFERROR(INDEX(Listas!$B$2:$B$14,MATCH(B605,Listas!$A$2:$A$14,0)),"?"))</f>
        <v/>
      </c>
      <c r="D605" s="14" t="n"/>
      <c r="E605" s="14" t="n"/>
      <c r="F605" s="21">
        <f>IF(AND(D605="",E605=""),"",D605*60+E605)</f>
        <v/>
      </c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</row>
    <row r="606">
      <c r="A606" s="14" t="n"/>
      <c r="B606" s="14" t="n"/>
      <c r="C606" s="21">
        <f>IF(B606="","",IFERROR(INDEX(Listas!$B$2:$B$14,MATCH(B606,Listas!$A$2:$A$14,0)),"?"))</f>
        <v/>
      </c>
      <c r="D606" s="14" t="n"/>
      <c r="E606" s="14" t="n"/>
      <c r="F606" s="21">
        <f>IF(AND(D606="",E606=""),"",D606*60+E606)</f>
        <v/>
      </c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</row>
    <row r="607">
      <c r="A607" s="14" t="n"/>
      <c r="B607" s="14" t="n"/>
      <c r="C607" s="21">
        <f>IF(B607="","",IFERROR(INDEX(Listas!$B$2:$B$14,MATCH(B607,Listas!$A$2:$A$14,0)),"?"))</f>
        <v/>
      </c>
      <c r="D607" s="14" t="n"/>
      <c r="E607" s="14" t="n"/>
      <c r="F607" s="21">
        <f>IF(AND(D607="",E607=""),"",D607*60+E607)</f>
        <v/>
      </c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</row>
    <row r="608">
      <c r="A608" s="14" t="n"/>
      <c r="B608" s="14" t="n"/>
      <c r="C608" s="21">
        <f>IF(B608="","",IFERROR(INDEX(Listas!$B$2:$B$14,MATCH(B608,Listas!$A$2:$A$14,0)),"?"))</f>
        <v/>
      </c>
      <c r="D608" s="14" t="n"/>
      <c r="E608" s="14" t="n"/>
      <c r="F608" s="21">
        <f>IF(AND(D608="",E608=""),"",D608*60+E608)</f>
        <v/>
      </c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</row>
    <row r="609">
      <c r="A609" s="14" t="n"/>
      <c r="B609" s="14" t="n"/>
      <c r="C609" s="21">
        <f>IF(B609="","",IFERROR(INDEX(Listas!$B$2:$B$14,MATCH(B609,Listas!$A$2:$A$14,0)),"?"))</f>
        <v/>
      </c>
      <c r="D609" s="14" t="n"/>
      <c r="E609" s="14" t="n"/>
      <c r="F609" s="21">
        <f>IF(AND(D609="",E609=""),"",D609*60+E609)</f>
        <v/>
      </c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</row>
    <row r="610">
      <c r="A610" s="14" t="n"/>
      <c r="B610" s="14" t="n"/>
      <c r="C610" s="21">
        <f>IF(B610="","",IFERROR(INDEX(Listas!$B$2:$B$14,MATCH(B610,Listas!$A$2:$A$14,0)),"?"))</f>
        <v/>
      </c>
      <c r="D610" s="14" t="n"/>
      <c r="E610" s="14" t="n"/>
      <c r="F610" s="21">
        <f>IF(AND(D610="",E610=""),"",D610*60+E610)</f>
        <v/>
      </c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</row>
    <row r="611">
      <c r="A611" s="14" t="n"/>
      <c r="B611" s="14" t="n"/>
      <c r="C611" s="21">
        <f>IF(B611="","",IFERROR(INDEX(Listas!$B$2:$B$14,MATCH(B611,Listas!$A$2:$A$14,0)),"?"))</f>
        <v/>
      </c>
      <c r="D611" s="14" t="n"/>
      <c r="E611" s="14" t="n"/>
      <c r="F611" s="21">
        <f>IF(AND(D611="",E611=""),"",D611*60+E611)</f>
        <v/>
      </c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</row>
    <row r="612">
      <c r="A612" s="14" t="n"/>
      <c r="B612" s="14" t="n"/>
      <c r="C612" s="21">
        <f>IF(B612="","",IFERROR(INDEX(Listas!$B$2:$B$14,MATCH(B612,Listas!$A$2:$A$14,0)),"?"))</f>
        <v/>
      </c>
      <c r="D612" s="14" t="n"/>
      <c r="E612" s="14" t="n"/>
      <c r="F612" s="21">
        <f>IF(AND(D612="",E612=""),"",D612*60+E612)</f>
        <v/>
      </c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</row>
    <row r="613">
      <c r="A613" s="14" t="n"/>
      <c r="B613" s="14" t="n"/>
      <c r="C613" s="21">
        <f>IF(B613="","",IFERROR(INDEX(Listas!$B$2:$B$14,MATCH(B613,Listas!$A$2:$A$14,0)),"?"))</f>
        <v/>
      </c>
      <c r="D613" s="14" t="n"/>
      <c r="E613" s="14" t="n"/>
      <c r="F613" s="21">
        <f>IF(AND(D613="",E613=""),"",D613*60+E613)</f>
        <v/>
      </c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</row>
    <row r="614">
      <c r="A614" s="14" t="n"/>
      <c r="B614" s="14" t="n"/>
      <c r="C614" s="21">
        <f>IF(B614="","",IFERROR(INDEX(Listas!$B$2:$B$14,MATCH(B614,Listas!$A$2:$A$14,0)),"?"))</f>
        <v/>
      </c>
      <c r="D614" s="14" t="n"/>
      <c r="E614" s="14" t="n"/>
      <c r="F614" s="21">
        <f>IF(AND(D614="",E614=""),"",D614*60+E614)</f>
        <v/>
      </c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</row>
    <row r="615">
      <c r="A615" s="14" t="n"/>
      <c r="B615" s="14" t="n"/>
      <c r="C615" s="21">
        <f>IF(B615="","",IFERROR(INDEX(Listas!$B$2:$B$14,MATCH(B615,Listas!$A$2:$A$14,0)),"?"))</f>
        <v/>
      </c>
      <c r="D615" s="14" t="n"/>
      <c r="E615" s="14" t="n"/>
      <c r="F615" s="21">
        <f>IF(AND(D615="",E615=""),"",D615*60+E615)</f>
        <v/>
      </c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</row>
    <row r="616">
      <c r="A616" s="14" t="n"/>
      <c r="B616" s="14" t="n"/>
      <c r="C616" s="21">
        <f>IF(B616="","",IFERROR(INDEX(Listas!$B$2:$B$14,MATCH(B616,Listas!$A$2:$A$14,0)),"?"))</f>
        <v/>
      </c>
      <c r="D616" s="14" t="n"/>
      <c r="E616" s="14" t="n"/>
      <c r="F616" s="21">
        <f>IF(AND(D616="",E616=""),"",D616*60+E616)</f>
        <v/>
      </c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</row>
    <row r="617">
      <c r="A617" s="14" t="n"/>
      <c r="B617" s="14" t="n"/>
      <c r="C617" s="21">
        <f>IF(B617="","",IFERROR(INDEX(Listas!$B$2:$B$14,MATCH(B617,Listas!$A$2:$A$14,0)),"?"))</f>
        <v/>
      </c>
      <c r="D617" s="14" t="n"/>
      <c r="E617" s="14" t="n"/>
      <c r="F617" s="21">
        <f>IF(AND(D617="",E617=""),"",D617*60+E617)</f>
        <v/>
      </c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</row>
    <row r="618">
      <c r="A618" s="14" t="n"/>
      <c r="B618" s="14" t="n"/>
      <c r="C618" s="21">
        <f>IF(B618="","",IFERROR(INDEX(Listas!$B$2:$B$14,MATCH(B618,Listas!$A$2:$A$14,0)),"?"))</f>
        <v/>
      </c>
      <c r="D618" s="14" t="n"/>
      <c r="E618" s="14" t="n"/>
      <c r="F618" s="21">
        <f>IF(AND(D618="",E618=""),"",D618*60+E618)</f>
        <v/>
      </c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</row>
    <row r="619">
      <c r="A619" s="14" t="n"/>
      <c r="B619" s="14" t="n"/>
      <c r="C619" s="21">
        <f>IF(B619="","",IFERROR(INDEX(Listas!$B$2:$B$14,MATCH(B619,Listas!$A$2:$A$14,0)),"?"))</f>
        <v/>
      </c>
      <c r="D619" s="14" t="n"/>
      <c r="E619" s="14" t="n"/>
      <c r="F619" s="21">
        <f>IF(AND(D619="",E619=""),"",D619*60+E619)</f>
        <v/>
      </c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</row>
    <row r="620">
      <c r="A620" s="14" t="n"/>
      <c r="B620" s="14" t="n"/>
      <c r="C620" s="21">
        <f>IF(B620="","",IFERROR(INDEX(Listas!$B$2:$B$14,MATCH(B620,Listas!$A$2:$A$14,0)),"?"))</f>
        <v/>
      </c>
      <c r="D620" s="14" t="n"/>
      <c r="E620" s="14" t="n"/>
      <c r="F620" s="21">
        <f>IF(AND(D620="",E620=""),"",D620*60+E620)</f>
        <v/>
      </c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</row>
    <row r="621">
      <c r="A621" s="14" t="n"/>
      <c r="B621" s="14" t="n"/>
      <c r="C621" s="21">
        <f>IF(B621="","",IFERROR(INDEX(Listas!$B$2:$B$14,MATCH(B621,Listas!$A$2:$A$14,0)),"?"))</f>
        <v/>
      </c>
      <c r="D621" s="14" t="n"/>
      <c r="E621" s="14" t="n"/>
      <c r="F621" s="21">
        <f>IF(AND(D621="",E621=""),"",D621*60+E621)</f>
        <v/>
      </c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</row>
    <row r="622">
      <c r="A622" s="14" t="n"/>
      <c r="B622" s="14" t="n"/>
      <c r="C622" s="21">
        <f>IF(B622="","",IFERROR(INDEX(Listas!$B$2:$B$14,MATCH(B622,Listas!$A$2:$A$14,0)),"?"))</f>
        <v/>
      </c>
      <c r="D622" s="14" t="n"/>
      <c r="E622" s="14" t="n"/>
      <c r="F622" s="21">
        <f>IF(AND(D622="",E622=""),"",D622*60+E622)</f>
        <v/>
      </c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</row>
    <row r="623">
      <c r="A623" s="14" t="n"/>
      <c r="B623" s="14" t="n"/>
      <c r="C623" s="21">
        <f>IF(B623="","",IFERROR(INDEX(Listas!$B$2:$B$14,MATCH(B623,Listas!$A$2:$A$14,0)),"?"))</f>
        <v/>
      </c>
      <c r="D623" s="14" t="n"/>
      <c r="E623" s="14" t="n"/>
      <c r="F623" s="21">
        <f>IF(AND(D623="",E623=""),"",D623*60+E623)</f>
        <v/>
      </c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</row>
    <row r="624">
      <c r="A624" s="14" t="n"/>
      <c r="B624" s="14" t="n"/>
      <c r="C624" s="21">
        <f>IF(B624="","",IFERROR(INDEX(Listas!$B$2:$B$14,MATCH(B624,Listas!$A$2:$A$14,0)),"?"))</f>
        <v/>
      </c>
      <c r="D624" s="14" t="n"/>
      <c r="E624" s="14" t="n"/>
      <c r="F624" s="21">
        <f>IF(AND(D624="",E624=""),"",D624*60+E624)</f>
        <v/>
      </c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</row>
    <row r="625">
      <c r="A625" s="14" t="n"/>
      <c r="B625" s="14" t="n"/>
      <c r="C625" s="21">
        <f>IF(B625="","",IFERROR(INDEX(Listas!$B$2:$B$14,MATCH(B625,Listas!$A$2:$A$14,0)),"?"))</f>
        <v/>
      </c>
      <c r="D625" s="14" t="n"/>
      <c r="E625" s="14" t="n"/>
      <c r="F625" s="21">
        <f>IF(AND(D625="",E625=""),"",D625*60+E625)</f>
        <v/>
      </c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</row>
    <row r="626">
      <c r="A626" s="14" t="n"/>
      <c r="B626" s="14" t="n"/>
      <c r="C626" s="21">
        <f>IF(B626="","",IFERROR(INDEX(Listas!$B$2:$B$14,MATCH(B626,Listas!$A$2:$A$14,0)),"?"))</f>
        <v/>
      </c>
      <c r="D626" s="14" t="n"/>
      <c r="E626" s="14" t="n"/>
      <c r="F626" s="21">
        <f>IF(AND(D626="",E626=""),"",D626*60+E626)</f>
        <v/>
      </c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</row>
    <row r="627">
      <c r="A627" s="14" t="n"/>
      <c r="B627" s="14" t="n"/>
      <c r="C627" s="21">
        <f>IF(B627="","",IFERROR(INDEX(Listas!$B$2:$B$14,MATCH(B627,Listas!$A$2:$A$14,0)),"?"))</f>
        <v/>
      </c>
      <c r="D627" s="14" t="n"/>
      <c r="E627" s="14" t="n"/>
      <c r="F627" s="21">
        <f>IF(AND(D627="",E627=""),"",D627*60+E627)</f>
        <v/>
      </c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</row>
    <row r="628">
      <c r="A628" s="14" t="n"/>
      <c r="B628" s="14" t="n"/>
      <c r="C628" s="21">
        <f>IF(B628="","",IFERROR(INDEX(Listas!$B$2:$B$14,MATCH(B628,Listas!$A$2:$A$14,0)),"?"))</f>
        <v/>
      </c>
      <c r="D628" s="14" t="n"/>
      <c r="E628" s="14" t="n"/>
      <c r="F628" s="21">
        <f>IF(AND(D628="",E628=""),"",D628*60+E628)</f>
        <v/>
      </c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</row>
    <row r="629">
      <c r="A629" s="14" t="n"/>
      <c r="B629" s="14" t="n"/>
      <c r="C629" s="21">
        <f>IF(B629="","",IFERROR(INDEX(Listas!$B$2:$B$14,MATCH(B629,Listas!$A$2:$A$14,0)),"?"))</f>
        <v/>
      </c>
      <c r="D629" s="14" t="n"/>
      <c r="E629" s="14" t="n"/>
      <c r="F629" s="21">
        <f>IF(AND(D629="",E629=""),"",D629*60+E629)</f>
        <v/>
      </c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</row>
    <row r="630">
      <c r="A630" s="14" t="n"/>
      <c r="B630" s="14" t="n"/>
      <c r="C630" s="21">
        <f>IF(B630="","",IFERROR(INDEX(Listas!$B$2:$B$14,MATCH(B630,Listas!$A$2:$A$14,0)),"?"))</f>
        <v/>
      </c>
      <c r="D630" s="14" t="n"/>
      <c r="E630" s="14" t="n"/>
      <c r="F630" s="21">
        <f>IF(AND(D630="",E630=""),"",D630*60+E630)</f>
        <v/>
      </c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</row>
    <row r="631">
      <c r="A631" s="14" t="n"/>
      <c r="B631" s="14" t="n"/>
      <c r="C631" s="21">
        <f>IF(B631="","",IFERROR(INDEX(Listas!$B$2:$B$14,MATCH(B631,Listas!$A$2:$A$14,0)),"?"))</f>
        <v/>
      </c>
      <c r="D631" s="14" t="n"/>
      <c r="E631" s="14" t="n"/>
      <c r="F631" s="21">
        <f>IF(AND(D631="",E631=""),"",D631*60+E631)</f>
        <v/>
      </c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</row>
    <row r="632">
      <c r="A632" s="14" t="n"/>
      <c r="B632" s="14" t="n"/>
      <c r="C632" s="21">
        <f>IF(B632="","",IFERROR(INDEX(Listas!$B$2:$B$14,MATCH(B632,Listas!$A$2:$A$14,0)),"?"))</f>
        <v/>
      </c>
      <c r="D632" s="14" t="n"/>
      <c r="E632" s="14" t="n"/>
      <c r="F632" s="21">
        <f>IF(AND(D632="",E632=""),"",D632*60+E632)</f>
        <v/>
      </c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</row>
    <row r="633">
      <c r="A633" s="14" t="n"/>
      <c r="B633" s="14" t="n"/>
      <c r="C633" s="21">
        <f>IF(B633="","",IFERROR(INDEX(Listas!$B$2:$B$14,MATCH(B633,Listas!$A$2:$A$14,0)),"?"))</f>
        <v/>
      </c>
      <c r="D633" s="14" t="n"/>
      <c r="E633" s="14" t="n"/>
      <c r="F633" s="21">
        <f>IF(AND(D633="",E633=""),"",D633*60+E633)</f>
        <v/>
      </c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</row>
    <row r="634">
      <c r="A634" s="14" t="n"/>
      <c r="B634" s="14" t="n"/>
      <c r="C634" s="21">
        <f>IF(B634="","",IFERROR(INDEX(Listas!$B$2:$B$14,MATCH(B634,Listas!$A$2:$A$14,0)),"?"))</f>
        <v/>
      </c>
      <c r="D634" s="14" t="n"/>
      <c r="E634" s="14" t="n"/>
      <c r="F634" s="21">
        <f>IF(AND(D634="",E634=""),"",D634*60+E634)</f>
        <v/>
      </c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</row>
    <row r="635">
      <c r="A635" s="14" t="n"/>
      <c r="B635" s="14" t="n"/>
      <c r="C635" s="21">
        <f>IF(B635="","",IFERROR(INDEX(Listas!$B$2:$B$14,MATCH(B635,Listas!$A$2:$A$14,0)),"?"))</f>
        <v/>
      </c>
      <c r="D635" s="14" t="n"/>
      <c r="E635" s="14" t="n"/>
      <c r="F635" s="21">
        <f>IF(AND(D635="",E635=""),"",D635*60+E635)</f>
        <v/>
      </c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</row>
    <row r="636">
      <c r="A636" s="14" t="n"/>
      <c r="B636" s="14" t="n"/>
      <c r="C636" s="21">
        <f>IF(B636="","",IFERROR(INDEX(Listas!$B$2:$B$14,MATCH(B636,Listas!$A$2:$A$14,0)),"?"))</f>
        <v/>
      </c>
      <c r="D636" s="14" t="n"/>
      <c r="E636" s="14" t="n"/>
      <c r="F636" s="21">
        <f>IF(AND(D636="",E636=""),"",D636*60+E636)</f>
        <v/>
      </c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</row>
    <row r="637">
      <c r="A637" s="14" t="n"/>
      <c r="B637" s="14" t="n"/>
      <c r="C637" s="21">
        <f>IF(B637="","",IFERROR(INDEX(Listas!$B$2:$B$14,MATCH(B637,Listas!$A$2:$A$14,0)),"?"))</f>
        <v/>
      </c>
      <c r="D637" s="14" t="n"/>
      <c r="E637" s="14" t="n"/>
      <c r="F637" s="21">
        <f>IF(AND(D637="",E637=""),"",D637*60+E637)</f>
        <v/>
      </c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</row>
    <row r="638">
      <c r="A638" s="14" t="n"/>
      <c r="B638" s="14" t="n"/>
      <c r="C638" s="21">
        <f>IF(B638="","",IFERROR(INDEX(Listas!$B$2:$B$14,MATCH(B638,Listas!$A$2:$A$14,0)),"?"))</f>
        <v/>
      </c>
      <c r="D638" s="14" t="n"/>
      <c r="E638" s="14" t="n"/>
      <c r="F638" s="21">
        <f>IF(AND(D638="",E638=""),"",D638*60+E638)</f>
        <v/>
      </c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</row>
    <row r="639">
      <c r="A639" s="14" t="n"/>
      <c r="B639" s="14" t="n"/>
      <c r="C639" s="21">
        <f>IF(B639="","",IFERROR(INDEX(Listas!$B$2:$B$14,MATCH(B639,Listas!$A$2:$A$14,0)),"?"))</f>
        <v/>
      </c>
      <c r="D639" s="14" t="n"/>
      <c r="E639" s="14" t="n"/>
      <c r="F639" s="21">
        <f>IF(AND(D639="",E639=""),"",D639*60+E639)</f>
        <v/>
      </c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</row>
    <row r="640">
      <c r="A640" s="14" t="n"/>
      <c r="B640" s="14" t="n"/>
      <c r="C640" s="21">
        <f>IF(B640="","",IFERROR(INDEX(Listas!$B$2:$B$14,MATCH(B640,Listas!$A$2:$A$14,0)),"?"))</f>
        <v/>
      </c>
      <c r="D640" s="14" t="n"/>
      <c r="E640" s="14" t="n"/>
      <c r="F640" s="21">
        <f>IF(AND(D640="",E640=""),"",D640*60+E640)</f>
        <v/>
      </c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</row>
    <row r="641">
      <c r="A641" s="14" t="n"/>
      <c r="B641" s="14" t="n"/>
      <c r="C641" s="21">
        <f>IF(B641="","",IFERROR(INDEX(Listas!$B$2:$B$14,MATCH(B641,Listas!$A$2:$A$14,0)),"?"))</f>
        <v/>
      </c>
      <c r="D641" s="14" t="n"/>
      <c r="E641" s="14" t="n"/>
      <c r="F641" s="21">
        <f>IF(AND(D641="",E641=""),"",D641*60+E641)</f>
        <v/>
      </c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</row>
    <row r="642">
      <c r="A642" s="14" t="n"/>
      <c r="B642" s="14" t="n"/>
      <c r="C642" s="21">
        <f>IF(B642="","",IFERROR(INDEX(Listas!$B$2:$B$14,MATCH(B642,Listas!$A$2:$A$14,0)),"?"))</f>
        <v/>
      </c>
      <c r="D642" s="14" t="n"/>
      <c r="E642" s="14" t="n"/>
      <c r="F642" s="21">
        <f>IF(AND(D642="",E642=""),"",D642*60+E642)</f>
        <v/>
      </c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</row>
    <row r="643">
      <c r="A643" s="14" t="n"/>
      <c r="B643" s="14" t="n"/>
      <c r="C643" s="21">
        <f>IF(B643="","",IFERROR(INDEX(Listas!$B$2:$B$14,MATCH(B643,Listas!$A$2:$A$14,0)),"?"))</f>
        <v/>
      </c>
      <c r="D643" s="14" t="n"/>
      <c r="E643" s="14" t="n"/>
      <c r="F643" s="21">
        <f>IF(AND(D643="",E643=""),"",D643*60+E643)</f>
        <v/>
      </c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</row>
    <row r="644">
      <c r="A644" s="14" t="n"/>
      <c r="B644" s="14" t="n"/>
      <c r="C644" s="21">
        <f>IF(B644="","",IFERROR(INDEX(Listas!$B$2:$B$14,MATCH(B644,Listas!$A$2:$A$14,0)),"?"))</f>
        <v/>
      </c>
      <c r="D644" s="14" t="n"/>
      <c r="E644" s="14" t="n"/>
      <c r="F644" s="21">
        <f>IF(AND(D644="",E644=""),"",D644*60+E644)</f>
        <v/>
      </c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</row>
    <row r="645">
      <c r="A645" s="14" t="n"/>
      <c r="B645" s="14" t="n"/>
      <c r="C645" s="21">
        <f>IF(B645="","",IFERROR(INDEX(Listas!$B$2:$B$14,MATCH(B645,Listas!$A$2:$A$14,0)),"?"))</f>
        <v/>
      </c>
      <c r="D645" s="14" t="n"/>
      <c r="E645" s="14" t="n"/>
      <c r="F645" s="21">
        <f>IF(AND(D645="",E645=""),"",D645*60+E645)</f>
        <v/>
      </c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</row>
    <row r="646">
      <c r="A646" s="14" t="n"/>
      <c r="B646" s="14" t="n"/>
      <c r="C646" s="21">
        <f>IF(B646="","",IFERROR(INDEX(Listas!$B$2:$B$14,MATCH(B646,Listas!$A$2:$A$14,0)),"?"))</f>
        <v/>
      </c>
      <c r="D646" s="14" t="n"/>
      <c r="E646" s="14" t="n"/>
      <c r="F646" s="21">
        <f>IF(AND(D646="",E646=""),"",D646*60+E646)</f>
        <v/>
      </c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</row>
    <row r="647">
      <c r="A647" s="14" t="n"/>
      <c r="B647" s="14" t="n"/>
      <c r="C647" s="21">
        <f>IF(B647="","",IFERROR(INDEX(Listas!$B$2:$B$14,MATCH(B647,Listas!$A$2:$A$14,0)),"?"))</f>
        <v/>
      </c>
      <c r="D647" s="14" t="n"/>
      <c r="E647" s="14" t="n"/>
      <c r="F647" s="21">
        <f>IF(AND(D647="",E647=""),"",D647*60+E647)</f>
        <v/>
      </c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</row>
    <row r="648">
      <c r="A648" s="14" t="n"/>
      <c r="B648" s="14" t="n"/>
      <c r="C648" s="21">
        <f>IF(B648="","",IFERROR(INDEX(Listas!$B$2:$B$14,MATCH(B648,Listas!$A$2:$A$14,0)),"?"))</f>
        <v/>
      </c>
      <c r="D648" s="14" t="n"/>
      <c r="E648" s="14" t="n"/>
      <c r="F648" s="21">
        <f>IF(AND(D648="",E648=""),"",D648*60+E648)</f>
        <v/>
      </c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</row>
    <row r="649">
      <c r="A649" s="14" t="n"/>
      <c r="B649" s="14" t="n"/>
      <c r="C649" s="21">
        <f>IF(B649="","",IFERROR(INDEX(Listas!$B$2:$B$14,MATCH(B649,Listas!$A$2:$A$14,0)),"?"))</f>
        <v/>
      </c>
      <c r="D649" s="14" t="n"/>
      <c r="E649" s="14" t="n"/>
      <c r="F649" s="21">
        <f>IF(AND(D649="",E649=""),"",D649*60+E649)</f>
        <v/>
      </c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</row>
    <row r="650">
      <c r="A650" s="14" t="n"/>
      <c r="B650" s="14" t="n"/>
      <c r="C650" s="21">
        <f>IF(B650="","",IFERROR(INDEX(Listas!$B$2:$B$14,MATCH(B650,Listas!$A$2:$A$14,0)),"?"))</f>
        <v/>
      </c>
      <c r="D650" s="14" t="n"/>
      <c r="E650" s="14" t="n"/>
      <c r="F650" s="21">
        <f>IF(AND(D650="",E650=""),"",D650*60+E650)</f>
        <v/>
      </c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</row>
    <row r="651">
      <c r="A651" s="14" t="n"/>
      <c r="B651" s="14" t="n"/>
      <c r="C651" s="21">
        <f>IF(B651="","",IFERROR(INDEX(Listas!$B$2:$B$14,MATCH(B651,Listas!$A$2:$A$14,0)),"?"))</f>
        <v/>
      </c>
      <c r="D651" s="14" t="n"/>
      <c r="E651" s="14" t="n"/>
      <c r="F651" s="21">
        <f>IF(AND(D651="",E651=""),"",D651*60+E651)</f>
        <v/>
      </c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</row>
    <row r="652">
      <c r="A652" s="14" t="n"/>
      <c r="B652" s="14" t="n"/>
      <c r="C652" s="21">
        <f>IF(B652="","",IFERROR(INDEX(Listas!$B$2:$B$14,MATCH(B652,Listas!$A$2:$A$14,0)),"?"))</f>
        <v/>
      </c>
      <c r="D652" s="14" t="n"/>
      <c r="E652" s="14" t="n"/>
      <c r="F652" s="21">
        <f>IF(AND(D652="",E652=""),"",D652*60+E652)</f>
        <v/>
      </c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</row>
    <row r="653">
      <c r="A653" s="14" t="n"/>
      <c r="B653" s="14" t="n"/>
      <c r="C653" s="21">
        <f>IF(B653="","",IFERROR(INDEX(Listas!$B$2:$B$14,MATCH(B653,Listas!$A$2:$A$14,0)),"?"))</f>
        <v/>
      </c>
      <c r="D653" s="14" t="n"/>
      <c r="E653" s="14" t="n"/>
      <c r="F653" s="21">
        <f>IF(AND(D653="",E653=""),"",D653*60+E653)</f>
        <v/>
      </c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</row>
    <row r="654">
      <c r="A654" s="14" t="n"/>
      <c r="B654" s="14" t="n"/>
      <c r="C654" s="21">
        <f>IF(B654="","",IFERROR(INDEX(Listas!$B$2:$B$14,MATCH(B654,Listas!$A$2:$A$14,0)),"?"))</f>
        <v/>
      </c>
      <c r="D654" s="14" t="n"/>
      <c r="E654" s="14" t="n"/>
      <c r="F654" s="21">
        <f>IF(AND(D654="",E654=""),"",D654*60+E654)</f>
        <v/>
      </c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</row>
    <row r="655">
      <c r="A655" s="14" t="n"/>
      <c r="B655" s="14" t="n"/>
      <c r="C655" s="21">
        <f>IF(B655="","",IFERROR(INDEX(Listas!$B$2:$B$14,MATCH(B655,Listas!$A$2:$A$14,0)),"?"))</f>
        <v/>
      </c>
      <c r="D655" s="14" t="n"/>
      <c r="E655" s="14" t="n"/>
      <c r="F655" s="21">
        <f>IF(AND(D655="",E655=""),"",D655*60+E655)</f>
        <v/>
      </c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</row>
    <row r="656">
      <c r="A656" s="14" t="n"/>
      <c r="B656" s="14" t="n"/>
      <c r="C656" s="21">
        <f>IF(B656="","",IFERROR(INDEX(Listas!$B$2:$B$14,MATCH(B656,Listas!$A$2:$A$14,0)),"?"))</f>
        <v/>
      </c>
      <c r="D656" s="14" t="n"/>
      <c r="E656" s="14" t="n"/>
      <c r="F656" s="21">
        <f>IF(AND(D656="",E656=""),"",D656*60+E656)</f>
        <v/>
      </c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</row>
    <row r="657">
      <c r="A657" s="14" t="n"/>
      <c r="B657" s="14" t="n"/>
      <c r="C657" s="21">
        <f>IF(B657="","",IFERROR(INDEX(Listas!$B$2:$B$14,MATCH(B657,Listas!$A$2:$A$14,0)),"?"))</f>
        <v/>
      </c>
      <c r="D657" s="14" t="n"/>
      <c r="E657" s="14" t="n"/>
      <c r="F657" s="21">
        <f>IF(AND(D657="",E657=""),"",D657*60+E657)</f>
        <v/>
      </c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</row>
    <row r="658">
      <c r="A658" s="14" t="n"/>
      <c r="B658" s="14" t="n"/>
      <c r="C658" s="21">
        <f>IF(B658="","",IFERROR(INDEX(Listas!$B$2:$B$14,MATCH(B658,Listas!$A$2:$A$14,0)),"?"))</f>
        <v/>
      </c>
      <c r="D658" s="14" t="n"/>
      <c r="E658" s="14" t="n"/>
      <c r="F658" s="21">
        <f>IF(AND(D658="",E658=""),"",D658*60+E658)</f>
        <v/>
      </c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</row>
    <row r="659">
      <c r="A659" s="14" t="n"/>
      <c r="B659" s="14" t="n"/>
      <c r="C659" s="21">
        <f>IF(B659="","",IFERROR(INDEX(Listas!$B$2:$B$14,MATCH(B659,Listas!$A$2:$A$14,0)),"?"))</f>
        <v/>
      </c>
      <c r="D659" s="14" t="n"/>
      <c r="E659" s="14" t="n"/>
      <c r="F659" s="21">
        <f>IF(AND(D659="",E659=""),"",D659*60+E659)</f>
        <v/>
      </c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</row>
    <row r="660">
      <c r="A660" s="14" t="n"/>
      <c r="B660" s="14" t="n"/>
      <c r="C660" s="21">
        <f>IF(B660="","",IFERROR(INDEX(Listas!$B$2:$B$14,MATCH(B660,Listas!$A$2:$A$14,0)),"?"))</f>
        <v/>
      </c>
      <c r="D660" s="14" t="n"/>
      <c r="E660" s="14" t="n"/>
      <c r="F660" s="21">
        <f>IF(AND(D660="",E660=""),"",D660*60+E660)</f>
        <v/>
      </c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</row>
    <row r="661">
      <c r="A661" s="14" t="n"/>
      <c r="B661" s="14" t="n"/>
      <c r="C661" s="21">
        <f>IF(B661="","",IFERROR(INDEX(Listas!$B$2:$B$14,MATCH(B661,Listas!$A$2:$A$14,0)),"?"))</f>
        <v/>
      </c>
      <c r="D661" s="14" t="n"/>
      <c r="E661" s="14" t="n"/>
      <c r="F661" s="21">
        <f>IF(AND(D661="",E661=""),"",D661*60+E661)</f>
        <v/>
      </c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</row>
    <row r="662">
      <c r="A662" s="14" t="n"/>
      <c r="B662" s="14" t="n"/>
      <c r="C662" s="21">
        <f>IF(B662="","",IFERROR(INDEX(Listas!$B$2:$B$14,MATCH(B662,Listas!$A$2:$A$14,0)),"?"))</f>
        <v/>
      </c>
      <c r="D662" s="14" t="n"/>
      <c r="E662" s="14" t="n"/>
      <c r="F662" s="21">
        <f>IF(AND(D662="",E662=""),"",D662*60+E662)</f>
        <v/>
      </c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</row>
    <row r="663">
      <c r="A663" s="14" t="n"/>
      <c r="B663" s="14" t="n"/>
      <c r="C663" s="21">
        <f>IF(B663="","",IFERROR(INDEX(Listas!$B$2:$B$14,MATCH(B663,Listas!$A$2:$A$14,0)),"?"))</f>
        <v/>
      </c>
      <c r="D663" s="14" t="n"/>
      <c r="E663" s="14" t="n"/>
      <c r="F663" s="21">
        <f>IF(AND(D663="",E663=""),"",D663*60+E663)</f>
        <v/>
      </c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</row>
    <row r="664">
      <c r="A664" s="14" t="n"/>
      <c r="B664" s="14" t="n"/>
      <c r="C664" s="21">
        <f>IF(B664="","",IFERROR(INDEX(Listas!$B$2:$B$14,MATCH(B664,Listas!$A$2:$A$14,0)),"?"))</f>
        <v/>
      </c>
      <c r="D664" s="14" t="n"/>
      <c r="E664" s="14" t="n"/>
      <c r="F664" s="21">
        <f>IF(AND(D664="",E664=""),"",D664*60+E664)</f>
        <v/>
      </c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</row>
    <row r="665">
      <c r="A665" s="14" t="n"/>
      <c r="B665" s="14" t="n"/>
      <c r="C665" s="21">
        <f>IF(B665="","",IFERROR(INDEX(Listas!$B$2:$B$14,MATCH(B665,Listas!$A$2:$A$14,0)),"?"))</f>
        <v/>
      </c>
      <c r="D665" s="14" t="n"/>
      <c r="E665" s="14" t="n"/>
      <c r="F665" s="21">
        <f>IF(AND(D665="",E665=""),"",D665*60+E665)</f>
        <v/>
      </c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</row>
    <row r="666">
      <c r="A666" s="14" t="n"/>
      <c r="B666" s="14" t="n"/>
      <c r="C666" s="21">
        <f>IF(B666="","",IFERROR(INDEX(Listas!$B$2:$B$14,MATCH(B666,Listas!$A$2:$A$14,0)),"?"))</f>
        <v/>
      </c>
      <c r="D666" s="14" t="n"/>
      <c r="E666" s="14" t="n"/>
      <c r="F666" s="21">
        <f>IF(AND(D666="",E666=""),"",D666*60+E666)</f>
        <v/>
      </c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</row>
    <row r="667">
      <c r="A667" s="14" t="n"/>
      <c r="B667" s="14" t="n"/>
      <c r="C667" s="21">
        <f>IF(B667="","",IFERROR(INDEX(Listas!$B$2:$B$14,MATCH(B667,Listas!$A$2:$A$14,0)),"?"))</f>
        <v/>
      </c>
      <c r="D667" s="14" t="n"/>
      <c r="E667" s="14" t="n"/>
      <c r="F667" s="21">
        <f>IF(AND(D667="",E667=""),"",D667*60+E667)</f>
        <v/>
      </c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</row>
    <row r="668">
      <c r="A668" s="14" t="n"/>
      <c r="B668" s="14" t="n"/>
      <c r="C668" s="21">
        <f>IF(B668="","",IFERROR(INDEX(Listas!$B$2:$B$14,MATCH(B668,Listas!$A$2:$A$14,0)),"?"))</f>
        <v/>
      </c>
      <c r="D668" s="14" t="n"/>
      <c r="E668" s="14" t="n"/>
      <c r="F668" s="21">
        <f>IF(AND(D668="",E668=""),"",D668*60+E668)</f>
        <v/>
      </c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</row>
    <row r="669">
      <c r="A669" s="14" t="n"/>
      <c r="B669" s="14" t="n"/>
      <c r="C669" s="21">
        <f>IF(B669="","",IFERROR(INDEX(Listas!$B$2:$B$14,MATCH(B669,Listas!$A$2:$A$14,0)),"?"))</f>
        <v/>
      </c>
      <c r="D669" s="14" t="n"/>
      <c r="E669" s="14" t="n"/>
      <c r="F669" s="21">
        <f>IF(AND(D669="",E669=""),"",D669*60+E669)</f>
        <v/>
      </c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</row>
    <row r="670">
      <c r="A670" s="14" t="n"/>
      <c r="B670" s="14" t="n"/>
      <c r="C670" s="21">
        <f>IF(B670="","",IFERROR(INDEX(Listas!$B$2:$B$14,MATCH(B670,Listas!$A$2:$A$14,0)),"?"))</f>
        <v/>
      </c>
      <c r="D670" s="14" t="n"/>
      <c r="E670" s="14" t="n"/>
      <c r="F670" s="21">
        <f>IF(AND(D670="",E670=""),"",D670*60+E670)</f>
        <v/>
      </c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</row>
    <row r="671">
      <c r="A671" s="14" t="n"/>
      <c r="B671" s="14" t="n"/>
      <c r="C671" s="21">
        <f>IF(B671="","",IFERROR(INDEX(Listas!$B$2:$B$14,MATCH(B671,Listas!$A$2:$A$14,0)),"?"))</f>
        <v/>
      </c>
      <c r="D671" s="14" t="n"/>
      <c r="E671" s="14" t="n"/>
      <c r="F671" s="21">
        <f>IF(AND(D671="",E671=""),"",D671*60+E671)</f>
        <v/>
      </c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</row>
    <row r="672">
      <c r="A672" s="14" t="n"/>
      <c r="B672" s="14" t="n"/>
      <c r="C672" s="21">
        <f>IF(B672="","",IFERROR(INDEX(Listas!$B$2:$B$14,MATCH(B672,Listas!$A$2:$A$14,0)),"?"))</f>
        <v/>
      </c>
      <c r="D672" s="14" t="n"/>
      <c r="E672" s="14" t="n"/>
      <c r="F672" s="21">
        <f>IF(AND(D672="",E672=""),"",D672*60+E672)</f>
        <v/>
      </c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</row>
    <row r="673">
      <c r="A673" s="14" t="n"/>
      <c r="B673" s="14" t="n"/>
      <c r="C673" s="21">
        <f>IF(B673="","",IFERROR(INDEX(Listas!$B$2:$B$14,MATCH(B673,Listas!$A$2:$A$14,0)),"?"))</f>
        <v/>
      </c>
      <c r="D673" s="14" t="n"/>
      <c r="E673" s="14" t="n"/>
      <c r="F673" s="21">
        <f>IF(AND(D673="",E673=""),"",D673*60+E673)</f>
        <v/>
      </c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</row>
    <row r="674">
      <c r="A674" s="14" t="n"/>
      <c r="B674" s="14" t="n"/>
      <c r="C674" s="21">
        <f>IF(B674="","",IFERROR(INDEX(Listas!$B$2:$B$14,MATCH(B674,Listas!$A$2:$A$14,0)),"?"))</f>
        <v/>
      </c>
      <c r="D674" s="14" t="n"/>
      <c r="E674" s="14" t="n"/>
      <c r="F674" s="21">
        <f>IF(AND(D674="",E674=""),"",D674*60+E674)</f>
        <v/>
      </c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</row>
    <row r="675">
      <c r="A675" s="14" t="n"/>
      <c r="B675" s="14" t="n"/>
      <c r="C675" s="21">
        <f>IF(B675="","",IFERROR(INDEX(Listas!$B$2:$B$14,MATCH(B675,Listas!$A$2:$A$14,0)),"?"))</f>
        <v/>
      </c>
      <c r="D675" s="14" t="n"/>
      <c r="E675" s="14" t="n"/>
      <c r="F675" s="21">
        <f>IF(AND(D675="",E675=""),"",D675*60+E675)</f>
        <v/>
      </c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</row>
    <row r="676">
      <c r="A676" s="14" t="n"/>
      <c r="B676" s="14" t="n"/>
      <c r="C676" s="21">
        <f>IF(B676="","",IFERROR(INDEX(Listas!$B$2:$B$14,MATCH(B676,Listas!$A$2:$A$14,0)),"?"))</f>
        <v/>
      </c>
      <c r="D676" s="14" t="n"/>
      <c r="E676" s="14" t="n"/>
      <c r="F676" s="21">
        <f>IF(AND(D676="",E676=""),"",D676*60+E676)</f>
        <v/>
      </c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</row>
    <row r="677">
      <c r="A677" s="14" t="n"/>
      <c r="B677" s="14" t="n"/>
      <c r="C677" s="21">
        <f>IF(B677="","",IFERROR(INDEX(Listas!$B$2:$B$14,MATCH(B677,Listas!$A$2:$A$14,0)),"?"))</f>
        <v/>
      </c>
      <c r="D677" s="14" t="n"/>
      <c r="E677" s="14" t="n"/>
      <c r="F677" s="21">
        <f>IF(AND(D677="",E677=""),"",D677*60+E677)</f>
        <v/>
      </c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</row>
    <row r="678">
      <c r="A678" s="14" t="n"/>
      <c r="B678" s="14" t="n"/>
      <c r="C678" s="21">
        <f>IF(B678="","",IFERROR(INDEX(Listas!$B$2:$B$14,MATCH(B678,Listas!$A$2:$A$14,0)),"?"))</f>
        <v/>
      </c>
      <c r="D678" s="14" t="n"/>
      <c r="E678" s="14" t="n"/>
      <c r="F678" s="21">
        <f>IF(AND(D678="",E678=""),"",D678*60+E678)</f>
        <v/>
      </c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</row>
    <row r="679">
      <c r="A679" s="14" t="n"/>
      <c r="B679" s="14" t="n"/>
      <c r="C679" s="21">
        <f>IF(B679="","",IFERROR(INDEX(Listas!$B$2:$B$14,MATCH(B679,Listas!$A$2:$A$14,0)),"?"))</f>
        <v/>
      </c>
      <c r="D679" s="14" t="n"/>
      <c r="E679" s="14" t="n"/>
      <c r="F679" s="21">
        <f>IF(AND(D679="",E679=""),"",D679*60+E679)</f>
        <v/>
      </c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</row>
    <row r="680">
      <c r="A680" s="14" t="n"/>
      <c r="B680" s="14" t="n"/>
      <c r="C680" s="21">
        <f>IF(B680="","",IFERROR(INDEX(Listas!$B$2:$B$14,MATCH(B680,Listas!$A$2:$A$14,0)),"?"))</f>
        <v/>
      </c>
      <c r="D680" s="14" t="n"/>
      <c r="E680" s="14" t="n"/>
      <c r="F680" s="21">
        <f>IF(AND(D680="",E680=""),"",D680*60+E680)</f>
        <v/>
      </c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</row>
    <row r="681">
      <c r="A681" s="14" t="n"/>
      <c r="B681" s="14" t="n"/>
      <c r="C681" s="21">
        <f>IF(B681="","",IFERROR(INDEX(Listas!$B$2:$B$14,MATCH(B681,Listas!$A$2:$A$14,0)),"?"))</f>
        <v/>
      </c>
      <c r="D681" s="14" t="n"/>
      <c r="E681" s="14" t="n"/>
      <c r="F681" s="21">
        <f>IF(AND(D681="",E681=""),"",D681*60+E681)</f>
        <v/>
      </c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</row>
    <row r="682">
      <c r="A682" s="14" t="n"/>
      <c r="B682" s="14" t="n"/>
      <c r="C682" s="21">
        <f>IF(B682="","",IFERROR(INDEX(Listas!$B$2:$B$14,MATCH(B682,Listas!$A$2:$A$14,0)),"?"))</f>
        <v/>
      </c>
      <c r="D682" s="14" t="n"/>
      <c r="E682" s="14" t="n"/>
      <c r="F682" s="21">
        <f>IF(AND(D682="",E682=""),"",D682*60+E682)</f>
        <v/>
      </c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</row>
    <row r="683">
      <c r="A683" s="14" t="n"/>
      <c r="B683" s="14" t="n"/>
      <c r="C683" s="21">
        <f>IF(B683="","",IFERROR(INDEX(Listas!$B$2:$B$14,MATCH(B683,Listas!$A$2:$A$14,0)),"?"))</f>
        <v/>
      </c>
      <c r="D683" s="14" t="n"/>
      <c r="E683" s="14" t="n"/>
      <c r="F683" s="21">
        <f>IF(AND(D683="",E683=""),"",D683*60+E683)</f>
        <v/>
      </c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</row>
    <row r="684">
      <c r="A684" s="14" t="n"/>
      <c r="B684" s="14" t="n"/>
      <c r="C684" s="21">
        <f>IF(B684="","",IFERROR(INDEX(Listas!$B$2:$B$14,MATCH(B684,Listas!$A$2:$A$14,0)),"?"))</f>
        <v/>
      </c>
      <c r="D684" s="14" t="n"/>
      <c r="E684" s="14" t="n"/>
      <c r="F684" s="21">
        <f>IF(AND(D684="",E684=""),"",D684*60+E684)</f>
        <v/>
      </c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</row>
    <row r="685">
      <c r="A685" s="14" t="n"/>
      <c r="B685" s="14" t="n"/>
      <c r="C685" s="21">
        <f>IF(B685="","",IFERROR(INDEX(Listas!$B$2:$B$14,MATCH(B685,Listas!$A$2:$A$14,0)),"?"))</f>
        <v/>
      </c>
      <c r="D685" s="14" t="n"/>
      <c r="E685" s="14" t="n"/>
      <c r="F685" s="21">
        <f>IF(AND(D685="",E685=""),"",D685*60+E685)</f>
        <v/>
      </c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</row>
    <row r="686">
      <c r="A686" s="14" t="n"/>
      <c r="B686" s="14" t="n"/>
      <c r="C686" s="21">
        <f>IF(B686="","",IFERROR(INDEX(Listas!$B$2:$B$14,MATCH(B686,Listas!$A$2:$A$14,0)),"?"))</f>
        <v/>
      </c>
      <c r="D686" s="14" t="n"/>
      <c r="E686" s="14" t="n"/>
      <c r="F686" s="21">
        <f>IF(AND(D686="",E686=""),"",D686*60+E686)</f>
        <v/>
      </c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</row>
    <row r="687">
      <c r="A687" s="14" t="n"/>
      <c r="B687" s="14" t="n"/>
      <c r="C687" s="21">
        <f>IF(B687="","",IFERROR(INDEX(Listas!$B$2:$B$14,MATCH(B687,Listas!$A$2:$A$14,0)),"?"))</f>
        <v/>
      </c>
      <c r="D687" s="14" t="n"/>
      <c r="E687" s="14" t="n"/>
      <c r="F687" s="21">
        <f>IF(AND(D687="",E687=""),"",D687*60+E687)</f>
        <v/>
      </c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</row>
    <row r="688">
      <c r="A688" s="14" t="n"/>
      <c r="B688" s="14" t="n"/>
      <c r="C688" s="21">
        <f>IF(B688="","",IFERROR(INDEX(Listas!$B$2:$B$14,MATCH(B688,Listas!$A$2:$A$14,0)),"?"))</f>
        <v/>
      </c>
      <c r="D688" s="14" t="n"/>
      <c r="E688" s="14" t="n"/>
      <c r="F688" s="21">
        <f>IF(AND(D688="",E688=""),"",D688*60+E688)</f>
        <v/>
      </c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</row>
    <row r="689">
      <c r="A689" s="14" t="n"/>
      <c r="B689" s="14" t="n"/>
      <c r="C689" s="21">
        <f>IF(B689="","",IFERROR(INDEX(Listas!$B$2:$B$14,MATCH(B689,Listas!$A$2:$A$14,0)),"?"))</f>
        <v/>
      </c>
      <c r="D689" s="14" t="n"/>
      <c r="E689" s="14" t="n"/>
      <c r="F689" s="21">
        <f>IF(AND(D689="",E689=""),"",D689*60+E689)</f>
        <v/>
      </c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</row>
    <row r="690">
      <c r="A690" s="14" t="n"/>
      <c r="B690" s="14" t="n"/>
      <c r="C690" s="21">
        <f>IF(B690="","",IFERROR(INDEX(Listas!$B$2:$B$14,MATCH(B690,Listas!$A$2:$A$14,0)),"?"))</f>
        <v/>
      </c>
      <c r="D690" s="14" t="n"/>
      <c r="E690" s="14" t="n"/>
      <c r="F690" s="21">
        <f>IF(AND(D690="",E690=""),"",D690*60+E690)</f>
        <v/>
      </c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</row>
    <row r="691">
      <c r="A691" s="14" t="n"/>
      <c r="B691" s="14" t="n"/>
      <c r="C691" s="21">
        <f>IF(B691="","",IFERROR(INDEX(Listas!$B$2:$B$14,MATCH(B691,Listas!$A$2:$A$14,0)),"?"))</f>
        <v/>
      </c>
      <c r="D691" s="14" t="n"/>
      <c r="E691" s="14" t="n"/>
      <c r="F691" s="21">
        <f>IF(AND(D691="",E691=""),"",D691*60+E691)</f>
        <v/>
      </c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</row>
    <row r="692">
      <c r="A692" s="14" t="n"/>
      <c r="B692" s="14" t="n"/>
      <c r="C692" s="21">
        <f>IF(B692="","",IFERROR(INDEX(Listas!$B$2:$B$14,MATCH(B692,Listas!$A$2:$A$14,0)),"?"))</f>
        <v/>
      </c>
      <c r="D692" s="14" t="n"/>
      <c r="E692" s="14" t="n"/>
      <c r="F692" s="21">
        <f>IF(AND(D692="",E692=""),"",D692*60+E692)</f>
        <v/>
      </c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</row>
    <row r="693">
      <c r="A693" s="14" t="n"/>
      <c r="B693" s="14" t="n"/>
      <c r="C693" s="21">
        <f>IF(B693="","",IFERROR(INDEX(Listas!$B$2:$B$14,MATCH(B693,Listas!$A$2:$A$14,0)),"?"))</f>
        <v/>
      </c>
      <c r="D693" s="14" t="n"/>
      <c r="E693" s="14" t="n"/>
      <c r="F693" s="21">
        <f>IF(AND(D693="",E693=""),"",D693*60+E693)</f>
        <v/>
      </c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</row>
    <row r="694">
      <c r="A694" s="14" t="n"/>
      <c r="B694" s="14" t="n"/>
      <c r="C694" s="21">
        <f>IF(B694="","",IFERROR(INDEX(Listas!$B$2:$B$14,MATCH(B694,Listas!$A$2:$A$14,0)),"?"))</f>
        <v/>
      </c>
      <c r="D694" s="14" t="n"/>
      <c r="E694" s="14" t="n"/>
      <c r="F694" s="21">
        <f>IF(AND(D694="",E694=""),"",D694*60+E694)</f>
        <v/>
      </c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</row>
    <row r="695">
      <c r="A695" s="14" t="n"/>
      <c r="B695" s="14" t="n"/>
      <c r="C695" s="21">
        <f>IF(B695="","",IFERROR(INDEX(Listas!$B$2:$B$14,MATCH(B695,Listas!$A$2:$A$14,0)),"?"))</f>
        <v/>
      </c>
      <c r="D695" s="14" t="n"/>
      <c r="E695" s="14" t="n"/>
      <c r="F695" s="21">
        <f>IF(AND(D695="",E695=""),"",D695*60+E695)</f>
        <v/>
      </c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</row>
    <row r="696">
      <c r="A696" s="14" t="n"/>
      <c r="B696" s="14" t="n"/>
      <c r="C696" s="21">
        <f>IF(B696="","",IFERROR(INDEX(Listas!$B$2:$B$14,MATCH(B696,Listas!$A$2:$A$14,0)),"?"))</f>
        <v/>
      </c>
      <c r="D696" s="14" t="n"/>
      <c r="E696" s="14" t="n"/>
      <c r="F696" s="21">
        <f>IF(AND(D696="",E696=""),"",D696*60+E696)</f>
        <v/>
      </c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</row>
    <row r="697">
      <c r="A697" s="14" t="n"/>
      <c r="B697" s="14" t="n"/>
      <c r="C697" s="21">
        <f>IF(B697="","",IFERROR(INDEX(Listas!$B$2:$B$14,MATCH(B697,Listas!$A$2:$A$14,0)),"?"))</f>
        <v/>
      </c>
      <c r="D697" s="14" t="n"/>
      <c r="E697" s="14" t="n"/>
      <c r="F697" s="21">
        <f>IF(AND(D697="",E697=""),"",D697*60+E697)</f>
        <v/>
      </c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</row>
    <row r="698">
      <c r="A698" s="14" t="n"/>
      <c r="B698" s="14" t="n"/>
      <c r="C698" s="21">
        <f>IF(B698="","",IFERROR(INDEX(Listas!$B$2:$B$14,MATCH(B698,Listas!$A$2:$A$14,0)),"?"))</f>
        <v/>
      </c>
      <c r="D698" s="14" t="n"/>
      <c r="E698" s="14" t="n"/>
      <c r="F698" s="21">
        <f>IF(AND(D698="",E698=""),"",D698*60+E698)</f>
        <v/>
      </c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</row>
    <row r="699">
      <c r="A699" s="14" t="n"/>
      <c r="B699" s="14" t="n"/>
      <c r="C699" s="21">
        <f>IF(B699="","",IFERROR(INDEX(Listas!$B$2:$B$14,MATCH(B699,Listas!$A$2:$A$14,0)),"?"))</f>
        <v/>
      </c>
      <c r="D699" s="14" t="n"/>
      <c r="E699" s="14" t="n"/>
      <c r="F699" s="21">
        <f>IF(AND(D699="",E699=""),"",D699*60+E699)</f>
        <v/>
      </c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</row>
    <row r="700">
      <c r="A700" s="14" t="n"/>
      <c r="B700" s="14" t="n"/>
      <c r="C700" s="21">
        <f>IF(B700="","",IFERROR(INDEX(Listas!$B$2:$B$14,MATCH(B700,Listas!$A$2:$A$14,0)),"?"))</f>
        <v/>
      </c>
      <c r="D700" s="14" t="n"/>
      <c r="E700" s="14" t="n"/>
      <c r="F700" s="21">
        <f>IF(AND(D700="",E700=""),"",D700*60+E700)</f>
        <v/>
      </c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</row>
    <row r="701">
      <c r="A701" s="14" t="n"/>
      <c r="B701" s="14" t="n"/>
      <c r="C701" s="21">
        <f>IF(B701="","",IFERROR(INDEX(Listas!$B$2:$B$14,MATCH(B701,Listas!$A$2:$A$14,0)),"?"))</f>
        <v/>
      </c>
      <c r="D701" s="14" t="n"/>
      <c r="E701" s="14" t="n"/>
      <c r="F701" s="21">
        <f>IF(AND(D701="",E701=""),"",D701*60+E701)</f>
        <v/>
      </c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</row>
    <row r="702">
      <c r="A702" s="14" t="n"/>
      <c r="B702" s="14" t="n"/>
      <c r="C702" s="21">
        <f>IF(B702="","",IFERROR(INDEX(Listas!$B$2:$B$14,MATCH(B702,Listas!$A$2:$A$14,0)),"?"))</f>
        <v/>
      </c>
      <c r="D702" s="14" t="n"/>
      <c r="E702" s="14" t="n"/>
      <c r="F702" s="21">
        <f>IF(AND(D702="",E702=""),"",D702*60+E702)</f>
        <v/>
      </c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</row>
    <row r="703">
      <c r="A703" s="14" t="n"/>
      <c r="B703" s="14" t="n"/>
      <c r="C703" s="21">
        <f>IF(B703="","",IFERROR(INDEX(Listas!$B$2:$B$14,MATCH(B703,Listas!$A$2:$A$14,0)),"?"))</f>
        <v/>
      </c>
      <c r="D703" s="14" t="n"/>
      <c r="E703" s="14" t="n"/>
      <c r="F703" s="21">
        <f>IF(AND(D703="",E703=""),"",D703*60+E703)</f>
        <v/>
      </c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</row>
    <row r="704">
      <c r="A704" s="14" t="n"/>
      <c r="B704" s="14" t="n"/>
      <c r="C704" s="21">
        <f>IF(B704="","",IFERROR(INDEX(Listas!$B$2:$B$14,MATCH(B704,Listas!$A$2:$A$14,0)),"?"))</f>
        <v/>
      </c>
      <c r="D704" s="14" t="n"/>
      <c r="E704" s="14" t="n"/>
      <c r="F704" s="21">
        <f>IF(AND(D704="",E704=""),"",D704*60+E704)</f>
        <v/>
      </c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</row>
    <row r="705">
      <c r="A705" s="14" t="n"/>
      <c r="B705" s="14" t="n"/>
      <c r="C705" s="21">
        <f>IF(B705="","",IFERROR(INDEX(Listas!$B$2:$B$14,MATCH(B705,Listas!$A$2:$A$14,0)),"?"))</f>
        <v/>
      </c>
      <c r="D705" s="14" t="n"/>
      <c r="E705" s="14" t="n"/>
      <c r="F705" s="21">
        <f>IF(AND(D705="",E705=""),"",D705*60+E705)</f>
        <v/>
      </c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</row>
    <row r="706">
      <c r="A706" s="14" t="n"/>
      <c r="B706" s="14" t="n"/>
      <c r="C706" s="21">
        <f>IF(B706="","",IFERROR(INDEX(Listas!$B$2:$B$14,MATCH(B706,Listas!$A$2:$A$14,0)),"?"))</f>
        <v/>
      </c>
      <c r="D706" s="14" t="n"/>
      <c r="E706" s="14" t="n"/>
      <c r="F706" s="21">
        <f>IF(AND(D706="",E706=""),"",D706*60+E706)</f>
        <v/>
      </c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</row>
    <row r="707">
      <c r="A707" s="14" t="n"/>
      <c r="B707" s="14" t="n"/>
      <c r="C707" s="21">
        <f>IF(B707="","",IFERROR(INDEX(Listas!$B$2:$B$14,MATCH(B707,Listas!$A$2:$A$14,0)),"?"))</f>
        <v/>
      </c>
      <c r="D707" s="14" t="n"/>
      <c r="E707" s="14" t="n"/>
      <c r="F707" s="21">
        <f>IF(AND(D707="",E707=""),"",D707*60+E707)</f>
        <v/>
      </c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</row>
    <row r="708">
      <c r="A708" s="14" t="n"/>
      <c r="B708" s="14" t="n"/>
      <c r="C708" s="21">
        <f>IF(B708="","",IFERROR(INDEX(Listas!$B$2:$B$14,MATCH(B708,Listas!$A$2:$A$14,0)),"?"))</f>
        <v/>
      </c>
      <c r="D708" s="14" t="n"/>
      <c r="E708" s="14" t="n"/>
      <c r="F708" s="21">
        <f>IF(AND(D708="",E708=""),"",D708*60+E708)</f>
        <v/>
      </c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</row>
    <row r="709">
      <c r="A709" s="14" t="n"/>
      <c r="B709" s="14" t="n"/>
      <c r="C709" s="21">
        <f>IF(B709="","",IFERROR(INDEX(Listas!$B$2:$B$14,MATCH(B709,Listas!$A$2:$A$14,0)),"?"))</f>
        <v/>
      </c>
      <c r="D709" s="14" t="n"/>
      <c r="E709" s="14" t="n"/>
      <c r="F709" s="21">
        <f>IF(AND(D709="",E709=""),"",D709*60+E709)</f>
        <v/>
      </c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</row>
    <row r="710">
      <c r="A710" s="14" t="n"/>
      <c r="B710" s="14" t="n"/>
      <c r="C710" s="21">
        <f>IF(B710="","",IFERROR(INDEX(Listas!$B$2:$B$14,MATCH(B710,Listas!$A$2:$A$14,0)),"?"))</f>
        <v/>
      </c>
      <c r="D710" s="14" t="n"/>
      <c r="E710" s="14" t="n"/>
      <c r="F710" s="21">
        <f>IF(AND(D710="",E710=""),"",D710*60+E710)</f>
        <v/>
      </c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</row>
    <row r="711">
      <c r="A711" s="14" t="n"/>
      <c r="B711" s="14" t="n"/>
      <c r="C711" s="21">
        <f>IF(B711="","",IFERROR(INDEX(Listas!$B$2:$B$14,MATCH(B711,Listas!$A$2:$A$14,0)),"?"))</f>
        <v/>
      </c>
      <c r="D711" s="14" t="n"/>
      <c r="E711" s="14" t="n"/>
      <c r="F711" s="21">
        <f>IF(AND(D711="",E711=""),"",D711*60+E711)</f>
        <v/>
      </c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</row>
    <row r="712">
      <c r="A712" s="14" t="n"/>
      <c r="B712" s="14" t="n"/>
      <c r="C712" s="21">
        <f>IF(B712="","",IFERROR(INDEX(Listas!$B$2:$B$14,MATCH(B712,Listas!$A$2:$A$14,0)),"?"))</f>
        <v/>
      </c>
      <c r="D712" s="14" t="n"/>
      <c r="E712" s="14" t="n"/>
      <c r="F712" s="21">
        <f>IF(AND(D712="",E712=""),"",D712*60+E712)</f>
        <v/>
      </c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</row>
    <row r="713">
      <c r="A713" s="14" t="n"/>
      <c r="B713" s="14" t="n"/>
      <c r="C713" s="21">
        <f>IF(B713="","",IFERROR(INDEX(Listas!$B$2:$B$14,MATCH(B713,Listas!$A$2:$A$14,0)),"?"))</f>
        <v/>
      </c>
      <c r="D713" s="14" t="n"/>
      <c r="E713" s="14" t="n"/>
      <c r="F713" s="21">
        <f>IF(AND(D713="",E713=""),"",D713*60+E713)</f>
        <v/>
      </c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</row>
    <row r="714">
      <c r="A714" s="14" t="n"/>
      <c r="B714" s="14" t="n"/>
      <c r="C714" s="21">
        <f>IF(B714="","",IFERROR(INDEX(Listas!$B$2:$B$14,MATCH(B714,Listas!$A$2:$A$14,0)),"?"))</f>
        <v/>
      </c>
      <c r="D714" s="14" t="n"/>
      <c r="E714" s="14" t="n"/>
      <c r="F714" s="21">
        <f>IF(AND(D714="",E714=""),"",D714*60+E714)</f>
        <v/>
      </c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</row>
    <row r="715">
      <c r="A715" s="14" t="n"/>
      <c r="B715" s="14" t="n"/>
      <c r="C715" s="21">
        <f>IF(B715="","",IFERROR(INDEX(Listas!$B$2:$B$14,MATCH(B715,Listas!$A$2:$A$14,0)),"?"))</f>
        <v/>
      </c>
      <c r="D715" s="14" t="n"/>
      <c r="E715" s="14" t="n"/>
      <c r="F715" s="21">
        <f>IF(AND(D715="",E715=""),"",D715*60+E715)</f>
        <v/>
      </c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</row>
    <row r="716">
      <c r="A716" s="14" t="n"/>
      <c r="B716" s="14" t="n"/>
      <c r="C716" s="21">
        <f>IF(B716="","",IFERROR(INDEX(Listas!$B$2:$B$14,MATCH(B716,Listas!$A$2:$A$14,0)),"?"))</f>
        <v/>
      </c>
      <c r="D716" s="14" t="n"/>
      <c r="E716" s="14" t="n"/>
      <c r="F716" s="21">
        <f>IF(AND(D716="",E716=""),"",D716*60+E716)</f>
        <v/>
      </c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</row>
    <row r="717">
      <c r="A717" s="14" t="n"/>
      <c r="B717" s="14" t="n"/>
      <c r="C717" s="21">
        <f>IF(B717="","",IFERROR(INDEX(Listas!$B$2:$B$14,MATCH(B717,Listas!$A$2:$A$14,0)),"?"))</f>
        <v/>
      </c>
      <c r="D717" s="14" t="n"/>
      <c r="E717" s="14" t="n"/>
      <c r="F717" s="21">
        <f>IF(AND(D717="",E717=""),"",D717*60+E717)</f>
        <v/>
      </c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</row>
    <row r="718">
      <c r="A718" s="14" t="n"/>
      <c r="B718" s="14" t="n"/>
      <c r="C718" s="21">
        <f>IF(B718="","",IFERROR(INDEX(Listas!$B$2:$B$14,MATCH(B718,Listas!$A$2:$A$14,0)),"?"))</f>
        <v/>
      </c>
      <c r="D718" s="14" t="n"/>
      <c r="E718" s="14" t="n"/>
      <c r="F718" s="21">
        <f>IF(AND(D718="",E718=""),"",D718*60+E718)</f>
        <v/>
      </c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</row>
    <row r="719">
      <c r="A719" s="14" t="n"/>
      <c r="B719" s="14" t="n"/>
      <c r="C719" s="21">
        <f>IF(B719="","",IFERROR(INDEX(Listas!$B$2:$B$14,MATCH(B719,Listas!$A$2:$A$14,0)),"?"))</f>
        <v/>
      </c>
      <c r="D719" s="14" t="n"/>
      <c r="E719" s="14" t="n"/>
      <c r="F719" s="21">
        <f>IF(AND(D719="",E719=""),"",D719*60+E719)</f>
        <v/>
      </c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</row>
    <row r="720">
      <c r="A720" s="14" t="n"/>
      <c r="B720" s="14" t="n"/>
      <c r="C720" s="21">
        <f>IF(B720="","",IFERROR(INDEX(Listas!$B$2:$B$14,MATCH(B720,Listas!$A$2:$A$14,0)),"?"))</f>
        <v/>
      </c>
      <c r="D720" s="14" t="n"/>
      <c r="E720" s="14" t="n"/>
      <c r="F720" s="21">
        <f>IF(AND(D720="",E720=""),"",D720*60+E720)</f>
        <v/>
      </c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</row>
    <row r="721">
      <c r="A721" s="14" t="n"/>
      <c r="B721" s="14" t="n"/>
      <c r="C721" s="21">
        <f>IF(B721="","",IFERROR(INDEX(Listas!$B$2:$B$14,MATCH(B721,Listas!$A$2:$A$14,0)),"?"))</f>
        <v/>
      </c>
      <c r="D721" s="14" t="n"/>
      <c r="E721" s="14" t="n"/>
      <c r="F721" s="21">
        <f>IF(AND(D721="",E721=""),"",D721*60+E721)</f>
        <v/>
      </c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</row>
    <row r="722">
      <c r="A722" s="14" t="n"/>
      <c r="B722" s="14" t="n"/>
      <c r="C722" s="21">
        <f>IF(B722="","",IFERROR(INDEX(Listas!$B$2:$B$14,MATCH(B722,Listas!$A$2:$A$14,0)),"?"))</f>
        <v/>
      </c>
      <c r="D722" s="14" t="n"/>
      <c r="E722" s="14" t="n"/>
      <c r="F722" s="21">
        <f>IF(AND(D722="",E722=""),"",D722*60+E722)</f>
        <v/>
      </c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</row>
    <row r="723">
      <c r="A723" s="14" t="n"/>
      <c r="B723" s="14" t="n"/>
      <c r="C723" s="21">
        <f>IF(B723="","",IFERROR(INDEX(Listas!$B$2:$B$14,MATCH(B723,Listas!$A$2:$A$14,0)),"?"))</f>
        <v/>
      </c>
      <c r="D723" s="14" t="n"/>
      <c r="E723" s="14" t="n"/>
      <c r="F723" s="21">
        <f>IF(AND(D723="",E723=""),"",D723*60+E723)</f>
        <v/>
      </c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</row>
    <row r="724">
      <c r="A724" s="14" t="n"/>
      <c r="B724" s="14" t="n"/>
      <c r="C724" s="21">
        <f>IF(B724="","",IFERROR(INDEX(Listas!$B$2:$B$14,MATCH(B724,Listas!$A$2:$A$14,0)),"?"))</f>
        <v/>
      </c>
      <c r="D724" s="14" t="n"/>
      <c r="E724" s="14" t="n"/>
      <c r="F724" s="21">
        <f>IF(AND(D724="",E724=""),"",D724*60+E724)</f>
        <v/>
      </c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</row>
    <row r="725">
      <c r="A725" s="14" t="n"/>
      <c r="B725" s="14" t="n"/>
      <c r="C725" s="21">
        <f>IF(B725="","",IFERROR(INDEX(Listas!$B$2:$B$14,MATCH(B725,Listas!$A$2:$A$14,0)),"?"))</f>
        <v/>
      </c>
      <c r="D725" s="14" t="n"/>
      <c r="E725" s="14" t="n"/>
      <c r="F725" s="21">
        <f>IF(AND(D725="",E725=""),"",D725*60+E725)</f>
        <v/>
      </c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</row>
    <row r="726">
      <c r="A726" s="14" t="n"/>
      <c r="B726" s="14" t="n"/>
      <c r="C726" s="21">
        <f>IF(B726="","",IFERROR(INDEX(Listas!$B$2:$B$14,MATCH(B726,Listas!$A$2:$A$14,0)),"?"))</f>
        <v/>
      </c>
      <c r="D726" s="14" t="n"/>
      <c r="E726" s="14" t="n"/>
      <c r="F726" s="21">
        <f>IF(AND(D726="",E726=""),"",D726*60+E726)</f>
        <v/>
      </c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</row>
    <row r="727">
      <c r="A727" s="14" t="n"/>
      <c r="B727" s="14" t="n"/>
      <c r="C727" s="21">
        <f>IF(B727="","",IFERROR(INDEX(Listas!$B$2:$B$14,MATCH(B727,Listas!$A$2:$A$14,0)),"?"))</f>
        <v/>
      </c>
      <c r="D727" s="14" t="n"/>
      <c r="E727" s="14" t="n"/>
      <c r="F727" s="21">
        <f>IF(AND(D727="",E727=""),"",D727*60+E727)</f>
        <v/>
      </c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</row>
    <row r="728">
      <c r="A728" s="14" t="n"/>
      <c r="B728" s="14" t="n"/>
      <c r="C728" s="21">
        <f>IF(B728="","",IFERROR(INDEX(Listas!$B$2:$B$14,MATCH(B728,Listas!$A$2:$A$14,0)),"?"))</f>
        <v/>
      </c>
      <c r="D728" s="14" t="n"/>
      <c r="E728" s="14" t="n"/>
      <c r="F728" s="21">
        <f>IF(AND(D728="",E728=""),"",D728*60+E728)</f>
        <v/>
      </c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</row>
    <row r="729">
      <c r="A729" s="14" t="n"/>
      <c r="B729" s="14" t="n"/>
      <c r="C729" s="21">
        <f>IF(B729="","",IFERROR(INDEX(Listas!$B$2:$B$14,MATCH(B729,Listas!$A$2:$A$14,0)),"?"))</f>
        <v/>
      </c>
      <c r="D729" s="14" t="n"/>
      <c r="E729" s="14" t="n"/>
      <c r="F729" s="21">
        <f>IF(AND(D729="",E729=""),"",D729*60+E729)</f>
        <v/>
      </c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</row>
    <row r="730">
      <c r="A730" s="14" t="n"/>
      <c r="B730" s="14" t="n"/>
      <c r="C730" s="21">
        <f>IF(B730="","",IFERROR(INDEX(Listas!$B$2:$B$14,MATCH(B730,Listas!$A$2:$A$14,0)),"?"))</f>
        <v/>
      </c>
      <c r="D730" s="14" t="n"/>
      <c r="E730" s="14" t="n"/>
      <c r="F730" s="21">
        <f>IF(AND(D730="",E730=""),"",D730*60+E730)</f>
        <v/>
      </c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</row>
    <row r="731">
      <c r="A731" s="14" t="n"/>
      <c r="B731" s="14" t="n"/>
      <c r="C731" s="21">
        <f>IF(B731="","",IFERROR(INDEX(Listas!$B$2:$B$14,MATCH(B731,Listas!$A$2:$A$14,0)),"?"))</f>
        <v/>
      </c>
      <c r="D731" s="14" t="n"/>
      <c r="E731" s="14" t="n"/>
      <c r="F731" s="21">
        <f>IF(AND(D731="",E731=""),"",D731*60+E731)</f>
        <v/>
      </c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</row>
    <row r="732">
      <c r="A732" s="14" t="n"/>
      <c r="B732" s="14" t="n"/>
      <c r="C732" s="21">
        <f>IF(B732="","",IFERROR(INDEX(Listas!$B$2:$B$14,MATCH(B732,Listas!$A$2:$A$14,0)),"?"))</f>
        <v/>
      </c>
      <c r="D732" s="14" t="n"/>
      <c r="E732" s="14" t="n"/>
      <c r="F732" s="21">
        <f>IF(AND(D732="",E732=""),"",D732*60+E732)</f>
        <v/>
      </c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</row>
    <row r="733">
      <c r="A733" s="14" t="n"/>
      <c r="B733" s="14" t="n"/>
      <c r="C733" s="21">
        <f>IF(B733="","",IFERROR(INDEX(Listas!$B$2:$B$14,MATCH(B733,Listas!$A$2:$A$14,0)),"?"))</f>
        <v/>
      </c>
      <c r="D733" s="14" t="n"/>
      <c r="E733" s="14" t="n"/>
      <c r="F733" s="21">
        <f>IF(AND(D733="",E733=""),"",D733*60+E733)</f>
        <v/>
      </c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</row>
    <row r="734">
      <c r="A734" s="14" t="n"/>
      <c r="B734" s="14" t="n"/>
      <c r="C734" s="21">
        <f>IF(B734="","",IFERROR(INDEX(Listas!$B$2:$B$14,MATCH(B734,Listas!$A$2:$A$14,0)),"?"))</f>
        <v/>
      </c>
      <c r="D734" s="14" t="n"/>
      <c r="E734" s="14" t="n"/>
      <c r="F734" s="21">
        <f>IF(AND(D734="",E734=""),"",D734*60+E734)</f>
        <v/>
      </c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</row>
    <row r="735">
      <c r="A735" s="14" t="n"/>
      <c r="B735" s="14" t="n"/>
      <c r="C735" s="21">
        <f>IF(B735="","",IFERROR(INDEX(Listas!$B$2:$B$14,MATCH(B735,Listas!$A$2:$A$14,0)),"?"))</f>
        <v/>
      </c>
      <c r="D735" s="14" t="n"/>
      <c r="E735" s="14" t="n"/>
      <c r="F735" s="21">
        <f>IF(AND(D735="",E735=""),"",D735*60+E735)</f>
        <v/>
      </c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</row>
    <row r="736">
      <c r="A736" s="14" t="n"/>
      <c r="B736" s="14" t="n"/>
      <c r="C736" s="21">
        <f>IF(B736="","",IFERROR(INDEX(Listas!$B$2:$B$14,MATCH(B736,Listas!$A$2:$A$14,0)),"?"))</f>
        <v/>
      </c>
      <c r="D736" s="14" t="n"/>
      <c r="E736" s="14" t="n"/>
      <c r="F736" s="21">
        <f>IF(AND(D736="",E736=""),"",D736*60+E736)</f>
        <v/>
      </c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</row>
    <row r="737">
      <c r="A737" s="14" t="n"/>
      <c r="B737" s="14" t="n"/>
      <c r="C737" s="21">
        <f>IF(B737="","",IFERROR(INDEX(Listas!$B$2:$B$14,MATCH(B737,Listas!$A$2:$A$14,0)),"?"))</f>
        <v/>
      </c>
      <c r="D737" s="14" t="n"/>
      <c r="E737" s="14" t="n"/>
      <c r="F737" s="21">
        <f>IF(AND(D737="",E737=""),"",D737*60+E737)</f>
        <v/>
      </c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</row>
    <row r="738">
      <c r="A738" s="14" t="n"/>
      <c r="B738" s="14" t="n"/>
      <c r="C738" s="21">
        <f>IF(B738="","",IFERROR(INDEX(Listas!$B$2:$B$14,MATCH(B738,Listas!$A$2:$A$14,0)),"?"))</f>
        <v/>
      </c>
      <c r="D738" s="14" t="n"/>
      <c r="E738" s="14" t="n"/>
      <c r="F738" s="21">
        <f>IF(AND(D738="",E738=""),"",D738*60+E738)</f>
        <v/>
      </c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</row>
    <row r="739">
      <c r="A739" s="14" t="n"/>
      <c r="B739" s="14" t="n"/>
      <c r="C739" s="21">
        <f>IF(B739="","",IFERROR(INDEX(Listas!$B$2:$B$14,MATCH(B739,Listas!$A$2:$A$14,0)),"?"))</f>
        <v/>
      </c>
      <c r="D739" s="14" t="n"/>
      <c r="E739" s="14" t="n"/>
      <c r="F739" s="21">
        <f>IF(AND(D739="",E739=""),"",D739*60+E739)</f>
        <v/>
      </c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</row>
    <row r="740">
      <c r="A740" s="14" t="n"/>
      <c r="B740" s="14" t="n"/>
      <c r="C740" s="21">
        <f>IF(B740="","",IFERROR(INDEX(Listas!$B$2:$B$14,MATCH(B740,Listas!$A$2:$A$14,0)),"?"))</f>
        <v/>
      </c>
      <c r="D740" s="14" t="n"/>
      <c r="E740" s="14" t="n"/>
      <c r="F740" s="21">
        <f>IF(AND(D740="",E740=""),"",D740*60+E740)</f>
        <v/>
      </c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</row>
    <row r="741">
      <c r="A741" s="14" t="n"/>
      <c r="B741" s="14" t="n"/>
      <c r="C741" s="21">
        <f>IF(B741="","",IFERROR(INDEX(Listas!$B$2:$B$14,MATCH(B741,Listas!$A$2:$A$14,0)),"?"))</f>
        <v/>
      </c>
      <c r="D741" s="14" t="n"/>
      <c r="E741" s="14" t="n"/>
      <c r="F741" s="21">
        <f>IF(AND(D741="",E741=""),"",D741*60+E741)</f>
        <v/>
      </c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</row>
    <row r="742">
      <c r="A742" s="14" t="n"/>
      <c r="B742" s="14" t="n"/>
      <c r="C742" s="21">
        <f>IF(B742="","",IFERROR(INDEX(Listas!$B$2:$B$14,MATCH(B742,Listas!$A$2:$A$14,0)),"?"))</f>
        <v/>
      </c>
      <c r="D742" s="14" t="n"/>
      <c r="E742" s="14" t="n"/>
      <c r="F742" s="21">
        <f>IF(AND(D742="",E742=""),"",D742*60+E742)</f>
        <v/>
      </c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</row>
    <row r="743">
      <c r="A743" s="14" t="n"/>
      <c r="B743" s="14" t="n"/>
      <c r="C743" s="21">
        <f>IF(B743="","",IFERROR(INDEX(Listas!$B$2:$B$14,MATCH(B743,Listas!$A$2:$A$14,0)),"?"))</f>
        <v/>
      </c>
      <c r="D743" s="14" t="n"/>
      <c r="E743" s="14" t="n"/>
      <c r="F743" s="21">
        <f>IF(AND(D743="",E743=""),"",D743*60+E743)</f>
        <v/>
      </c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</row>
    <row r="744">
      <c r="A744" s="14" t="n"/>
      <c r="B744" s="14" t="n"/>
      <c r="C744" s="21">
        <f>IF(B744="","",IFERROR(INDEX(Listas!$B$2:$B$14,MATCH(B744,Listas!$A$2:$A$14,0)),"?"))</f>
        <v/>
      </c>
      <c r="D744" s="14" t="n"/>
      <c r="E744" s="14" t="n"/>
      <c r="F744" s="21">
        <f>IF(AND(D744="",E744=""),"",D744*60+E744)</f>
        <v/>
      </c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</row>
    <row r="745">
      <c r="A745" s="14" t="n"/>
      <c r="B745" s="14" t="n"/>
      <c r="C745" s="21">
        <f>IF(B745="","",IFERROR(INDEX(Listas!$B$2:$B$14,MATCH(B745,Listas!$A$2:$A$14,0)),"?"))</f>
        <v/>
      </c>
      <c r="D745" s="14" t="n"/>
      <c r="E745" s="14" t="n"/>
      <c r="F745" s="21">
        <f>IF(AND(D745="",E745=""),"",D745*60+E745)</f>
        <v/>
      </c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</row>
    <row r="746">
      <c r="A746" s="14" t="n"/>
      <c r="B746" s="14" t="n"/>
      <c r="C746" s="21">
        <f>IF(B746="","",IFERROR(INDEX(Listas!$B$2:$B$14,MATCH(B746,Listas!$A$2:$A$14,0)),"?"))</f>
        <v/>
      </c>
      <c r="D746" s="14" t="n"/>
      <c r="E746" s="14" t="n"/>
      <c r="F746" s="21">
        <f>IF(AND(D746="",E746=""),"",D746*60+E746)</f>
        <v/>
      </c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</row>
    <row r="747">
      <c r="A747" s="14" t="n"/>
      <c r="B747" s="14" t="n"/>
      <c r="C747" s="21">
        <f>IF(B747="","",IFERROR(INDEX(Listas!$B$2:$B$14,MATCH(B747,Listas!$A$2:$A$14,0)),"?"))</f>
        <v/>
      </c>
      <c r="D747" s="14" t="n"/>
      <c r="E747" s="14" t="n"/>
      <c r="F747" s="21">
        <f>IF(AND(D747="",E747=""),"",D747*60+E747)</f>
        <v/>
      </c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</row>
    <row r="748">
      <c r="A748" s="14" t="n"/>
      <c r="B748" s="14" t="n"/>
      <c r="C748" s="21">
        <f>IF(B748="","",IFERROR(INDEX(Listas!$B$2:$B$14,MATCH(B748,Listas!$A$2:$A$14,0)),"?"))</f>
        <v/>
      </c>
      <c r="D748" s="14" t="n"/>
      <c r="E748" s="14" t="n"/>
      <c r="F748" s="21">
        <f>IF(AND(D748="",E748=""),"",D748*60+E748)</f>
        <v/>
      </c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</row>
    <row r="749">
      <c r="A749" s="14" t="n"/>
      <c r="B749" s="14" t="n"/>
      <c r="C749" s="21">
        <f>IF(B749="","",IFERROR(INDEX(Listas!$B$2:$B$14,MATCH(B749,Listas!$A$2:$A$14,0)),"?"))</f>
        <v/>
      </c>
      <c r="D749" s="14" t="n"/>
      <c r="E749" s="14" t="n"/>
      <c r="F749" s="21">
        <f>IF(AND(D749="",E749=""),"",D749*60+E749)</f>
        <v/>
      </c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</row>
    <row r="750">
      <c r="A750" s="14" t="n"/>
      <c r="B750" s="14" t="n"/>
      <c r="C750" s="21">
        <f>IF(B750="","",IFERROR(INDEX(Listas!$B$2:$B$14,MATCH(B750,Listas!$A$2:$A$14,0)),"?"))</f>
        <v/>
      </c>
      <c r="D750" s="14" t="n"/>
      <c r="E750" s="14" t="n"/>
      <c r="F750" s="21">
        <f>IF(AND(D750="",E750=""),"",D750*60+E750)</f>
        <v/>
      </c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</row>
    <row r="751">
      <c r="A751" s="14" t="n"/>
      <c r="B751" s="14" t="n"/>
      <c r="C751" s="21">
        <f>IF(B751="","",IFERROR(INDEX(Listas!$B$2:$B$14,MATCH(B751,Listas!$A$2:$A$14,0)),"?"))</f>
        <v/>
      </c>
      <c r="D751" s="14" t="n"/>
      <c r="E751" s="14" t="n"/>
      <c r="F751" s="21">
        <f>IF(AND(D751="",E751=""),"",D751*60+E751)</f>
        <v/>
      </c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</row>
    <row r="752">
      <c r="A752" s="14" t="n"/>
      <c r="B752" s="14" t="n"/>
      <c r="C752" s="21">
        <f>IF(B752="","",IFERROR(INDEX(Listas!$B$2:$B$14,MATCH(B752,Listas!$A$2:$A$14,0)),"?"))</f>
        <v/>
      </c>
      <c r="D752" s="14" t="n"/>
      <c r="E752" s="14" t="n"/>
      <c r="F752" s="21">
        <f>IF(AND(D752="",E752=""),"",D752*60+E752)</f>
        <v/>
      </c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</row>
    <row r="753">
      <c r="A753" s="14" t="n"/>
      <c r="B753" s="14" t="n"/>
      <c r="C753" s="21">
        <f>IF(B753="","",IFERROR(INDEX(Listas!$B$2:$B$14,MATCH(B753,Listas!$A$2:$A$14,0)),"?"))</f>
        <v/>
      </c>
      <c r="D753" s="14" t="n"/>
      <c r="E753" s="14" t="n"/>
      <c r="F753" s="21">
        <f>IF(AND(D753="",E753=""),"",D753*60+E753)</f>
        <v/>
      </c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</row>
    <row r="754">
      <c r="A754" s="14" t="n"/>
      <c r="B754" s="14" t="n"/>
      <c r="C754" s="21">
        <f>IF(B754="","",IFERROR(INDEX(Listas!$B$2:$B$14,MATCH(B754,Listas!$A$2:$A$14,0)),"?"))</f>
        <v/>
      </c>
      <c r="D754" s="14" t="n"/>
      <c r="E754" s="14" t="n"/>
      <c r="F754" s="21">
        <f>IF(AND(D754="",E754=""),"",D754*60+E754)</f>
        <v/>
      </c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</row>
    <row r="755">
      <c r="A755" s="14" t="n"/>
      <c r="B755" s="14" t="n"/>
      <c r="C755" s="21">
        <f>IF(B755="","",IFERROR(INDEX(Listas!$B$2:$B$14,MATCH(B755,Listas!$A$2:$A$14,0)),"?"))</f>
        <v/>
      </c>
      <c r="D755" s="14" t="n"/>
      <c r="E755" s="14" t="n"/>
      <c r="F755" s="21">
        <f>IF(AND(D755="",E755=""),"",D755*60+E755)</f>
        <v/>
      </c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</row>
    <row r="756">
      <c r="A756" s="14" t="n"/>
      <c r="B756" s="14" t="n"/>
      <c r="C756" s="21">
        <f>IF(B756="","",IFERROR(INDEX(Listas!$B$2:$B$14,MATCH(B756,Listas!$A$2:$A$14,0)),"?"))</f>
        <v/>
      </c>
      <c r="D756" s="14" t="n"/>
      <c r="E756" s="14" t="n"/>
      <c r="F756" s="21">
        <f>IF(AND(D756="",E756=""),"",D756*60+E756)</f>
        <v/>
      </c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</row>
    <row r="757">
      <c r="A757" s="14" t="n"/>
      <c r="B757" s="14" t="n"/>
      <c r="C757" s="21">
        <f>IF(B757="","",IFERROR(INDEX(Listas!$B$2:$B$14,MATCH(B757,Listas!$A$2:$A$14,0)),"?"))</f>
        <v/>
      </c>
      <c r="D757" s="14" t="n"/>
      <c r="E757" s="14" t="n"/>
      <c r="F757" s="21">
        <f>IF(AND(D757="",E757=""),"",D757*60+E757)</f>
        <v/>
      </c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</row>
    <row r="758">
      <c r="A758" s="14" t="n"/>
      <c r="B758" s="14" t="n"/>
      <c r="C758" s="21">
        <f>IF(B758="","",IFERROR(INDEX(Listas!$B$2:$B$14,MATCH(B758,Listas!$A$2:$A$14,0)),"?"))</f>
        <v/>
      </c>
      <c r="D758" s="14" t="n"/>
      <c r="E758" s="14" t="n"/>
      <c r="F758" s="21">
        <f>IF(AND(D758="",E758=""),"",D758*60+E758)</f>
        <v/>
      </c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</row>
    <row r="759">
      <c r="A759" s="14" t="n"/>
      <c r="B759" s="14" t="n"/>
      <c r="C759" s="21">
        <f>IF(B759="","",IFERROR(INDEX(Listas!$B$2:$B$14,MATCH(B759,Listas!$A$2:$A$14,0)),"?"))</f>
        <v/>
      </c>
      <c r="D759" s="14" t="n"/>
      <c r="E759" s="14" t="n"/>
      <c r="F759" s="21">
        <f>IF(AND(D759="",E759=""),"",D759*60+E759)</f>
        <v/>
      </c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</row>
    <row r="760">
      <c r="A760" s="14" t="n"/>
      <c r="B760" s="14" t="n"/>
      <c r="C760" s="21">
        <f>IF(B760="","",IFERROR(INDEX(Listas!$B$2:$B$14,MATCH(B760,Listas!$A$2:$A$14,0)),"?"))</f>
        <v/>
      </c>
      <c r="D760" s="14" t="n"/>
      <c r="E760" s="14" t="n"/>
      <c r="F760" s="21">
        <f>IF(AND(D760="",E760=""),"",D760*60+E760)</f>
        <v/>
      </c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</row>
    <row r="761">
      <c r="A761" s="14" t="n"/>
      <c r="B761" s="14" t="n"/>
      <c r="C761" s="21">
        <f>IF(B761="","",IFERROR(INDEX(Listas!$B$2:$B$14,MATCH(B761,Listas!$A$2:$A$14,0)),"?"))</f>
        <v/>
      </c>
      <c r="D761" s="14" t="n"/>
      <c r="E761" s="14" t="n"/>
      <c r="F761" s="21">
        <f>IF(AND(D761="",E761=""),"",D761*60+E761)</f>
        <v/>
      </c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</row>
    <row r="762">
      <c r="A762" s="14" t="n"/>
      <c r="B762" s="14" t="n"/>
      <c r="C762" s="21">
        <f>IF(B762="","",IFERROR(INDEX(Listas!$B$2:$B$14,MATCH(B762,Listas!$A$2:$A$14,0)),"?"))</f>
        <v/>
      </c>
      <c r="D762" s="14" t="n"/>
      <c r="E762" s="14" t="n"/>
      <c r="F762" s="21">
        <f>IF(AND(D762="",E762=""),"",D762*60+E762)</f>
        <v/>
      </c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</row>
    <row r="763">
      <c r="A763" s="14" t="n"/>
      <c r="B763" s="14" t="n"/>
      <c r="C763" s="21">
        <f>IF(B763="","",IFERROR(INDEX(Listas!$B$2:$B$14,MATCH(B763,Listas!$A$2:$A$14,0)),"?"))</f>
        <v/>
      </c>
      <c r="D763" s="14" t="n"/>
      <c r="E763" s="14" t="n"/>
      <c r="F763" s="21">
        <f>IF(AND(D763="",E763=""),"",D763*60+E763)</f>
        <v/>
      </c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</row>
    <row r="764">
      <c r="A764" s="14" t="n"/>
      <c r="B764" s="14" t="n"/>
      <c r="C764" s="21">
        <f>IF(B764="","",IFERROR(INDEX(Listas!$B$2:$B$14,MATCH(B764,Listas!$A$2:$A$14,0)),"?"))</f>
        <v/>
      </c>
      <c r="D764" s="14" t="n"/>
      <c r="E764" s="14" t="n"/>
      <c r="F764" s="21">
        <f>IF(AND(D764="",E764=""),"",D764*60+E764)</f>
        <v/>
      </c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</row>
    <row r="765">
      <c r="A765" s="14" t="n"/>
      <c r="B765" s="14" t="n"/>
      <c r="C765" s="21">
        <f>IF(B765="","",IFERROR(INDEX(Listas!$B$2:$B$14,MATCH(B765,Listas!$A$2:$A$14,0)),"?"))</f>
        <v/>
      </c>
      <c r="D765" s="14" t="n"/>
      <c r="E765" s="14" t="n"/>
      <c r="F765" s="21">
        <f>IF(AND(D765="",E765=""),"",D765*60+E765)</f>
        <v/>
      </c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</row>
    <row r="766">
      <c r="A766" s="14" t="n"/>
      <c r="B766" s="14" t="n"/>
      <c r="C766" s="21">
        <f>IF(B766="","",IFERROR(INDEX(Listas!$B$2:$B$14,MATCH(B766,Listas!$A$2:$A$14,0)),"?"))</f>
        <v/>
      </c>
      <c r="D766" s="14" t="n"/>
      <c r="E766" s="14" t="n"/>
      <c r="F766" s="21">
        <f>IF(AND(D766="",E766=""),"",D766*60+E766)</f>
        <v/>
      </c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</row>
    <row r="767">
      <c r="A767" s="14" t="n"/>
      <c r="B767" s="14" t="n"/>
      <c r="C767" s="21">
        <f>IF(B767="","",IFERROR(INDEX(Listas!$B$2:$B$14,MATCH(B767,Listas!$A$2:$A$14,0)),"?"))</f>
        <v/>
      </c>
      <c r="D767" s="14" t="n"/>
      <c r="E767" s="14" t="n"/>
      <c r="F767" s="21">
        <f>IF(AND(D767="",E767=""),"",D767*60+E767)</f>
        <v/>
      </c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</row>
    <row r="768">
      <c r="A768" s="14" t="n"/>
      <c r="B768" s="14" t="n"/>
      <c r="C768" s="21">
        <f>IF(B768="","",IFERROR(INDEX(Listas!$B$2:$B$14,MATCH(B768,Listas!$A$2:$A$14,0)),"?"))</f>
        <v/>
      </c>
      <c r="D768" s="14" t="n"/>
      <c r="E768" s="14" t="n"/>
      <c r="F768" s="21">
        <f>IF(AND(D768="",E768=""),"",D768*60+E768)</f>
        <v/>
      </c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</row>
    <row r="769">
      <c r="A769" s="14" t="n"/>
      <c r="B769" s="14" t="n"/>
      <c r="C769" s="21">
        <f>IF(B769="","",IFERROR(INDEX(Listas!$B$2:$B$14,MATCH(B769,Listas!$A$2:$A$14,0)),"?"))</f>
        <v/>
      </c>
      <c r="D769" s="14" t="n"/>
      <c r="E769" s="14" t="n"/>
      <c r="F769" s="21">
        <f>IF(AND(D769="",E769=""),"",D769*60+E769)</f>
        <v/>
      </c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</row>
    <row r="770">
      <c r="A770" s="14" t="n"/>
      <c r="B770" s="14" t="n"/>
      <c r="C770" s="21">
        <f>IF(B770="","",IFERROR(INDEX(Listas!$B$2:$B$14,MATCH(B770,Listas!$A$2:$A$14,0)),"?"))</f>
        <v/>
      </c>
      <c r="D770" s="14" t="n"/>
      <c r="E770" s="14" t="n"/>
      <c r="F770" s="21">
        <f>IF(AND(D770="",E770=""),"",D770*60+E770)</f>
        <v/>
      </c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</row>
    <row r="771">
      <c r="A771" s="14" t="n"/>
      <c r="B771" s="14" t="n"/>
      <c r="C771" s="21">
        <f>IF(B771="","",IFERROR(INDEX(Listas!$B$2:$B$14,MATCH(B771,Listas!$A$2:$A$14,0)),"?"))</f>
        <v/>
      </c>
      <c r="D771" s="14" t="n"/>
      <c r="E771" s="14" t="n"/>
      <c r="F771" s="21">
        <f>IF(AND(D771="",E771=""),"",D771*60+E771)</f>
        <v/>
      </c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</row>
    <row r="772">
      <c r="A772" s="14" t="n"/>
      <c r="B772" s="14" t="n"/>
      <c r="C772" s="21">
        <f>IF(B772="","",IFERROR(INDEX(Listas!$B$2:$B$14,MATCH(B772,Listas!$A$2:$A$14,0)),"?"))</f>
        <v/>
      </c>
      <c r="D772" s="14" t="n"/>
      <c r="E772" s="14" t="n"/>
      <c r="F772" s="21">
        <f>IF(AND(D772="",E772=""),"",D772*60+E772)</f>
        <v/>
      </c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</row>
    <row r="773">
      <c r="A773" s="14" t="n"/>
      <c r="B773" s="14" t="n"/>
      <c r="C773" s="21">
        <f>IF(B773="","",IFERROR(INDEX(Listas!$B$2:$B$14,MATCH(B773,Listas!$A$2:$A$14,0)),"?"))</f>
        <v/>
      </c>
      <c r="D773" s="14" t="n"/>
      <c r="E773" s="14" t="n"/>
      <c r="F773" s="21">
        <f>IF(AND(D773="",E773=""),"",D773*60+E773)</f>
        <v/>
      </c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</row>
    <row r="774">
      <c r="A774" s="14" t="n"/>
      <c r="B774" s="14" t="n"/>
      <c r="C774" s="21">
        <f>IF(B774="","",IFERROR(INDEX(Listas!$B$2:$B$14,MATCH(B774,Listas!$A$2:$A$14,0)),"?"))</f>
        <v/>
      </c>
      <c r="D774" s="14" t="n"/>
      <c r="E774" s="14" t="n"/>
      <c r="F774" s="21">
        <f>IF(AND(D774="",E774=""),"",D774*60+E774)</f>
        <v/>
      </c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</row>
    <row r="775">
      <c r="A775" s="14" t="n"/>
      <c r="B775" s="14" t="n"/>
      <c r="C775" s="21">
        <f>IF(B775="","",IFERROR(INDEX(Listas!$B$2:$B$14,MATCH(B775,Listas!$A$2:$A$14,0)),"?"))</f>
        <v/>
      </c>
      <c r="D775" s="14" t="n"/>
      <c r="E775" s="14" t="n"/>
      <c r="F775" s="21">
        <f>IF(AND(D775="",E775=""),"",D775*60+E775)</f>
        <v/>
      </c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</row>
    <row r="776">
      <c r="A776" s="14" t="n"/>
      <c r="B776" s="14" t="n"/>
      <c r="C776" s="21">
        <f>IF(B776="","",IFERROR(INDEX(Listas!$B$2:$B$14,MATCH(B776,Listas!$A$2:$A$14,0)),"?"))</f>
        <v/>
      </c>
      <c r="D776" s="14" t="n"/>
      <c r="E776" s="14" t="n"/>
      <c r="F776" s="21">
        <f>IF(AND(D776="",E776=""),"",D776*60+E776)</f>
        <v/>
      </c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</row>
    <row r="777">
      <c r="A777" s="14" t="n"/>
      <c r="B777" s="14" t="n"/>
      <c r="C777" s="21">
        <f>IF(B777="","",IFERROR(INDEX(Listas!$B$2:$B$14,MATCH(B777,Listas!$A$2:$A$14,0)),"?"))</f>
        <v/>
      </c>
      <c r="D777" s="14" t="n"/>
      <c r="E777" s="14" t="n"/>
      <c r="F777" s="21">
        <f>IF(AND(D777="",E777=""),"",D777*60+E777)</f>
        <v/>
      </c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</row>
    <row r="778">
      <c r="A778" s="14" t="n"/>
      <c r="B778" s="14" t="n"/>
      <c r="C778" s="21">
        <f>IF(B778="","",IFERROR(INDEX(Listas!$B$2:$B$14,MATCH(B778,Listas!$A$2:$A$14,0)),"?"))</f>
        <v/>
      </c>
      <c r="D778" s="14" t="n"/>
      <c r="E778" s="14" t="n"/>
      <c r="F778" s="21">
        <f>IF(AND(D778="",E778=""),"",D778*60+E778)</f>
        <v/>
      </c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</row>
    <row r="779">
      <c r="A779" s="14" t="n"/>
      <c r="B779" s="14" t="n"/>
      <c r="C779" s="21">
        <f>IF(B779="","",IFERROR(INDEX(Listas!$B$2:$B$14,MATCH(B779,Listas!$A$2:$A$14,0)),"?"))</f>
        <v/>
      </c>
      <c r="D779" s="14" t="n"/>
      <c r="E779" s="14" t="n"/>
      <c r="F779" s="21">
        <f>IF(AND(D779="",E779=""),"",D779*60+E779)</f>
        <v/>
      </c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</row>
    <row r="780">
      <c r="A780" s="14" t="n"/>
      <c r="B780" s="14" t="n"/>
      <c r="C780" s="21">
        <f>IF(B780="","",IFERROR(INDEX(Listas!$B$2:$B$14,MATCH(B780,Listas!$A$2:$A$14,0)),"?"))</f>
        <v/>
      </c>
      <c r="D780" s="14" t="n"/>
      <c r="E780" s="14" t="n"/>
      <c r="F780" s="21">
        <f>IF(AND(D780="",E780=""),"",D780*60+E780)</f>
        <v/>
      </c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</row>
    <row r="781">
      <c r="A781" s="14" t="n"/>
      <c r="B781" s="14" t="n"/>
      <c r="C781" s="21">
        <f>IF(B781="","",IFERROR(INDEX(Listas!$B$2:$B$14,MATCH(B781,Listas!$A$2:$A$14,0)),"?"))</f>
        <v/>
      </c>
      <c r="D781" s="14" t="n"/>
      <c r="E781" s="14" t="n"/>
      <c r="F781" s="21">
        <f>IF(AND(D781="",E781=""),"",D781*60+E781)</f>
        <v/>
      </c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</row>
    <row r="782">
      <c r="A782" s="14" t="n"/>
      <c r="B782" s="14" t="n"/>
      <c r="C782" s="21">
        <f>IF(B782="","",IFERROR(INDEX(Listas!$B$2:$B$14,MATCH(B782,Listas!$A$2:$A$14,0)),"?"))</f>
        <v/>
      </c>
      <c r="D782" s="14" t="n"/>
      <c r="E782" s="14" t="n"/>
      <c r="F782" s="21">
        <f>IF(AND(D782="",E782=""),"",D782*60+E782)</f>
        <v/>
      </c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</row>
    <row r="783">
      <c r="A783" s="14" t="n"/>
      <c r="B783" s="14" t="n"/>
      <c r="C783" s="21">
        <f>IF(B783="","",IFERROR(INDEX(Listas!$B$2:$B$14,MATCH(B783,Listas!$A$2:$A$14,0)),"?"))</f>
        <v/>
      </c>
      <c r="D783" s="14" t="n"/>
      <c r="E783" s="14" t="n"/>
      <c r="F783" s="21">
        <f>IF(AND(D783="",E783=""),"",D783*60+E783)</f>
        <v/>
      </c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</row>
    <row r="784">
      <c r="A784" s="14" t="n"/>
      <c r="B784" s="14" t="n"/>
      <c r="C784" s="21">
        <f>IF(B784="","",IFERROR(INDEX(Listas!$B$2:$B$14,MATCH(B784,Listas!$A$2:$A$14,0)),"?"))</f>
        <v/>
      </c>
      <c r="D784" s="14" t="n"/>
      <c r="E784" s="14" t="n"/>
      <c r="F784" s="21">
        <f>IF(AND(D784="",E784=""),"",D784*60+E784)</f>
        <v/>
      </c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</row>
    <row r="785">
      <c r="A785" s="14" t="n"/>
      <c r="B785" s="14" t="n"/>
      <c r="C785" s="21">
        <f>IF(B785="","",IFERROR(INDEX(Listas!$B$2:$B$14,MATCH(B785,Listas!$A$2:$A$14,0)),"?"))</f>
        <v/>
      </c>
      <c r="D785" s="14" t="n"/>
      <c r="E785" s="14" t="n"/>
      <c r="F785" s="21">
        <f>IF(AND(D785="",E785=""),"",D785*60+E785)</f>
        <v/>
      </c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</row>
    <row r="786">
      <c r="A786" s="14" t="n"/>
      <c r="B786" s="14" t="n"/>
      <c r="C786" s="21">
        <f>IF(B786="","",IFERROR(INDEX(Listas!$B$2:$B$14,MATCH(B786,Listas!$A$2:$A$14,0)),"?"))</f>
        <v/>
      </c>
      <c r="D786" s="14" t="n"/>
      <c r="E786" s="14" t="n"/>
      <c r="F786" s="21">
        <f>IF(AND(D786="",E786=""),"",D786*60+E786)</f>
        <v/>
      </c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</row>
    <row r="787">
      <c r="A787" s="14" t="n"/>
      <c r="B787" s="14" t="n"/>
      <c r="C787" s="21">
        <f>IF(B787="","",IFERROR(INDEX(Listas!$B$2:$B$14,MATCH(B787,Listas!$A$2:$A$14,0)),"?"))</f>
        <v/>
      </c>
      <c r="D787" s="14" t="n"/>
      <c r="E787" s="14" t="n"/>
      <c r="F787" s="21">
        <f>IF(AND(D787="",E787=""),"",D787*60+E787)</f>
        <v/>
      </c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</row>
    <row r="788">
      <c r="A788" s="14" t="n"/>
      <c r="B788" s="14" t="n"/>
      <c r="C788" s="21">
        <f>IF(B788="","",IFERROR(INDEX(Listas!$B$2:$B$14,MATCH(B788,Listas!$A$2:$A$14,0)),"?"))</f>
        <v/>
      </c>
      <c r="D788" s="14" t="n"/>
      <c r="E788" s="14" t="n"/>
      <c r="F788" s="21">
        <f>IF(AND(D788="",E788=""),"",D788*60+E788)</f>
        <v/>
      </c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</row>
    <row r="789">
      <c r="A789" s="14" t="n"/>
      <c r="B789" s="14" t="n"/>
      <c r="C789" s="21">
        <f>IF(B789="","",IFERROR(INDEX(Listas!$B$2:$B$14,MATCH(B789,Listas!$A$2:$A$14,0)),"?"))</f>
        <v/>
      </c>
      <c r="D789" s="14" t="n"/>
      <c r="E789" s="14" t="n"/>
      <c r="F789" s="21">
        <f>IF(AND(D789="",E789=""),"",D789*60+E789)</f>
        <v/>
      </c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</row>
    <row r="790">
      <c r="A790" s="14" t="n"/>
      <c r="B790" s="14" t="n"/>
      <c r="C790" s="21">
        <f>IF(B790="","",IFERROR(INDEX(Listas!$B$2:$B$14,MATCH(B790,Listas!$A$2:$A$14,0)),"?"))</f>
        <v/>
      </c>
      <c r="D790" s="14" t="n"/>
      <c r="E790" s="14" t="n"/>
      <c r="F790" s="21">
        <f>IF(AND(D790="",E790=""),"",D790*60+E790)</f>
        <v/>
      </c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</row>
    <row r="791">
      <c r="A791" s="14" t="n"/>
      <c r="B791" s="14" t="n"/>
      <c r="C791" s="21">
        <f>IF(B791="","",IFERROR(INDEX(Listas!$B$2:$B$14,MATCH(B791,Listas!$A$2:$A$14,0)),"?"))</f>
        <v/>
      </c>
      <c r="D791" s="14" t="n"/>
      <c r="E791" s="14" t="n"/>
      <c r="F791" s="21">
        <f>IF(AND(D791="",E791=""),"",D791*60+E791)</f>
        <v/>
      </c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</row>
    <row r="792">
      <c r="A792" s="14" t="n"/>
      <c r="B792" s="14" t="n"/>
      <c r="C792" s="21">
        <f>IF(B792="","",IFERROR(INDEX(Listas!$B$2:$B$14,MATCH(B792,Listas!$A$2:$A$14,0)),"?"))</f>
        <v/>
      </c>
      <c r="D792" s="14" t="n"/>
      <c r="E792" s="14" t="n"/>
      <c r="F792" s="21">
        <f>IF(AND(D792="",E792=""),"",D792*60+E792)</f>
        <v/>
      </c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</row>
    <row r="793">
      <c r="A793" s="14" t="n"/>
      <c r="B793" s="14" t="n"/>
      <c r="C793" s="21">
        <f>IF(B793="","",IFERROR(INDEX(Listas!$B$2:$B$14,MATCH(B793,Listas!$A$2:$A$14,0)),"?"))</f>
        <v/>
      </c>
      <c r="D793" s="14" t="n"/>
      <c r="E793" s="14" t="n"/>
      <c r="F793" s="21">
        <f>IF(AND(D793="",E793=""),"",D793*60+E793)</f>
        <v/>
      </c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</row>
    <row r="794">
      <c r="A794" s="14" t="n"/>
      <c r="B794" s="14" t="n"/>
      <c r="C794" s="21">
        <f>IF(B794="","",IFERROR(INDEX(Listas!$B$2:$B$14,MATCH(B794,Listas!$A$2:$A$14,0)),"?"))</f>
        <v/>
      </c>
      <c r="D794" s="14" t="n"/>
      <c r="E794" s="14" t="n"/>
      <c r="F794" s="21">
        <f>IF(AND(D794="",E794=""),"",D794*60+E794)</f>
        <v/>
      </c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</row>
    <row r="795">
      <c r="A795" s="14" t="n"/>
      <c r="B795" s="14" t="n"/>
      <c r="C795" s="21">
        <f>IF(B795="","",IFERROR(INDEX(Listas!$B$2:$B$14,MATCH(B795,Listas!$A$2:$A$14,0)),"?"))</f>
        <v/>
      </c>
      <c r="D795" s="14" t="n"/>
      <c r="E795" s="14" t="n"/>
      <c r="F795" s="21">
        <f>IF(AND(D795="",E795=""),"",D795*60+E795)</f>
        <v/>
      </c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</row>
    <row r="796">
      <c r="A796" s="14" t="n"/>
      <c r="B796" s="14" t="n"/>
      <c r="C796" s="21">
        <f>IF(B796="","",IFERROR(INDEX(Listas!$B$2:$B$14,MATCH(B796,Listas!$A$2:$A$14,0)),"?"))</f>
        <v/>
      </c>
      <c r="D796" s="14" t="n"/>
      <c r="E796" s="14" t="n"/>
      <c r="F796" s="21">
        <f>IF(AND(D796="",E796=""),"",D796*60+E796)</f>
        <v/>
      </c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</row>
    <row r="797">
      <c r="A797" s="14" t="n"/>
      <c r="B797" s="14" t="n"/>
      <c r="C797" s="21">
        <f>IF(B797="","",IFERROR(INDEX(Listas!$B$2:$B$14,MATCH(B797,Listas!$A$2:$A$14,0)),"?"))</f>
        <v/>
      </c>
      <c r="D797" s="14" t="n"/>
      <c r="E797" s="14" t="n"/>
      <c r="F797" s="21">
        <f>IF(AND(D797="",E797=""),"",D797*60+E797)</f>
        <v/>
      </c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</row>
    <row r="798">
      <c r="A798" s="14" t="n"/>
      <c r="B798" s="14" t="n"/>
      <c r="C798" s="21">
        <f>IF(B798="","",IFERROR(INDEX(Listas!$B$2:$B$14,MATCH(B798,Listas!$A$2:$A$14,0)),"?"))</f>
        <v/>
      </c>
      <c r="D798" s="14" t="n"/>
      <c r="E798" s="14" t="n"/>
      <c r="F798" s="21">
        <f>IF(AND(D798="",E798=""),"",D798*60+E798)</f>
        <v/>
      </c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</row>
    <row r="799">
      <c r="A799" s="14" t="n"/>
      <c r="B799" s="14" t="n"/>
      <c r="C799" s="21">
        <f>IF(B799="","",IFERROR(INDEX(Listas!$B$2:$B$14,MATCH(B799,Listas!$A$2:$A$14,0)),"?"))</f>
        <v/>
      </c>
      <c r="D799" s="14" t="n"/>
      <c r="E799" s="14" t="n"/>
      <c r="F799" s="21">
        <f>IF(AND(D799="",E799=""),"",D799*60+E799)</f>
        <v/>
      </c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</row>
    <row r="800">
      <c r="A800" s="14" t="n"/>
      <c r="B800" s="14" t="n"/>
      <c r="C800" s="21">
        <f>IF(B800="","",IFERROR(INDEX(Listas!$B$2:$B$14,MATCH(B800,Listas!$A$2:$A$14,0)),"?"))</f>
        <v/>
      </c>
      <c r="D800" s="14" t="n"/>
      <c r="E800" s="14" t="n"/>
      <c r="F800" s="21">
        <f>IF(AND(D800="",E800=""),"",D800*60+E800)</f>
        <v/>
      </c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</row>
    <row r="801">
      <c r="A801" s="14" t="n"/>
      <c r="B801" s="14" t="n"/>
      <c r="C801" s="21">
        <f>IF(B801="","",IFERROR(INDEX(Listas!$B$2:$B$14,MATCH(B801,Listas!$A$2:$A$14,0)),"?"))</f>
        <v/>
      </c>
      <c r="D801" s="14" t="n"/>
      <c r="E801" s="14" t="n"/>
      <c r="F801" s="21">
        <f>IF(AND(D801="",E801=""),"",D801*60+E801)</f>
        <v/>
      </c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</row>
    <row r="802">
      <c r="A802" s="14" t="n"/>
      <c r="B802" s="14" t="n"/>
      <c r="C802" s="21">
        <f>IF(B802="","",IFERROR(INDEX(Listas!$B$2:$B$14,MATCH(B802,Listas!$A$2:$A$14,0)),"?"))</f>
        <v/>
      </c>
      <c r="D802" s="14" t="n"/>
      <c r="E802" s="14" t="n"/>
      <c r="F802" s="21">
        <f>IF(AND(D802="",E802=""),"",D802*60+E802)</f>
        <v/>
      </c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</row>
    <row r="803">
      <c r="A803" s="14" t="n"/>
      <c r="B803" s="14" t="n"/>
      <c r="C803" s="21">
        <f>IF(B803="","",IFERROR(INDEX(Listas!$B$2:$B$14,MATCH(B803,Listas!$A$2:$A$14,0)),"?"))</f>
        <v/>
      </c>
      <c r="D803" s="14" t="n"/>
      <c r="E803" s="14" t="n"/>
      <c r="F803" s="21">
        <f>IF(AND(D803="",E803=""),"",D803*60+E803)</f>
        <v/>
      </c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</row>
    <row r="804">
      <c r="A804" s="14" t="n"/>
      <c r="B804" s="14" t="n"/>
      <c r="C804" s="21">
        <f>IF(B804="","",IFERROR(INDEX(Listas!$B$2:$B$14,MATCH(B804,Listas!$A$2:$A$14,0)),"?"))</f>
        <v/>
      </c>
      <c r="D804" s="14" t="n"/>
      <c r="E804" s="14" t="n"/>
      <c r="F804" s="21">
        <f>IF(AND(D804="",E804=""),"",D804*60+E804)</f>
        <v/>
      </c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</row>
  </sheetData>
  <dataValidations count="7">
    <dataValidation sqref="G5:G804" showDropDown="0" showInputMessage="0" showErrorMessage="0" allowBlank="1" type="list">
      <formula1>=Listas!$G$2:$G$4</formula1>
    </dataValidation>
    <dataValidation sqref="L5:L804" showDropDown="0" showInputMessage="0" showErrorMessage="0" allowBlank="1" type="list">
      <formula1>=Listas!$H$2:$H$3</formula1>
    </dataValidation>
    <dataValidation sqref="M5:M804" showDropDown="0" showInputMessage="0" showErrorMessage="0" allowBlank="1" type="list">
      <formula1>=Listas!$I$2:$I$4</formula1>
    </dataValidation>
    <dataValidation sqref="H5:H804" showDropDown="0" showInputMessage="0" showErrorMessage="0" allowBlank="1" error="Use um número de 1 a 5." type="whole" operator="between">
      <formula1>1</formula1>
      <formula2>5</formula2>
    </dataValidation>
    <dataValidation sqref="E5:E804" showDropDown="0" showInputMessage="0" showErrorMessage="0" allowBlank="1" error="Use um número de 0 a 59." type="whole" operator="between">
      <formula1>0</formula1>
      <formula2>59</formula2>
    </dataValidation>
    <dataValidation sqref="D5:D804" showDropDown="0" showInputMessage="0" showErrorMessage="0" allowBlank="1" error="Use um número de 0 a 10." type="whole" operator="between">
      <formula1>0</formula1>
      <formula2>10</formula2>
    </dataValidation>
    <dataValidation sqref="O5:O804" showDropDown="0" showInputMessage="0" showErrorMessage="0" allowBlank="1" error="Use um número de 1 a 12." type="whole" operator="between">
      <formula1>1</formula1>
      <formula2>12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24" customWidth="1" min="3" max="3"/>
    <col width="9" customWidth="1" min="4" max="4"/>
    <col width="9" customWidth="1" min="5" max="5"/>
    <col width="11" customWidth="1" min="6" max="6"/>
    <col width="14" customWidth="1" min="7" max="7"/>
    <col width="11" customWidth="1" min="8" max="8"/>
    <col width="30" customWidth="1" min="9" max="9"/>
    <col width="22" customWidth="1" min="10" max="10"/>
    <col width="34" customWidth="1" min="11" max="11"/>
    <col width="11" customWidth="1" min="12" max="12"/>
    <col width="11" customWidth="1" min="13" max="13"/>
    <col width="28" customWidth="1" min="14" max="14"/>
    <col width="14" customWidth="1" min="15" max="15"/>
  </cols>
  <sheetData>
    <row r="1">
      <c r="A1" s="1" t="inlineStr">
        <is>
          <t>Tarefas cuidadoras</t>
        </is>
      </c>
    </row>
    <row r="2">
      <c r="A2" s="6" t="inlineStr">
        <is>
          <t>Uma linha por pessoa e tarefa. Amarelo = preencher. Nome da tarefa e tempo total se calculam.</t>
        </is>
      </c>
    </row>
    <row r="4" ht="42" customHeight="1">
      <c r="A4" s="8" t="inlineStr">
        <is>
          <t>ID</t>
        </is>
      </c>
      <c r="B4" s="8" t="inlineStr">
        <is>
          <t>Tarefa</t>
        </is>
      </c>
      <c r="C4" s="8" t="inlineStr">
        <is>
          <t>Nome da tarefa</t>
        </is>
      </c>
      <c r="D4" s="8" t="inlineStr">
        <is>
          <t>Minutos</t>
        </is>
      </c>
      <c r="E4" s="8" t="inlineStr">
        <is>
          <t>Segundos</t>
        </is>
      </c>
      <c r="F4" s="8" t="inlineStr">
        <is>
          <t>Tempo total (s)</t>
        </is>
      </c>
      <c r="G4" s="8" t="inlineStr">
        <is>
          <t>Resultado</t>
        </is>
      </c>
      <c r="H4" s="8" t="inlineStr">
        <is>
          <t>Facilidade (1–5)</t>
        </is>
      </c>
      <c r="I4" s="8" t="inlineStr">
        <is>
          <t>Onde travou ou tocou</t>
        </is>
      </c>
      <c r="J4" s="8" t="inlineStr">
        <is>
          <t>Palavras que usou</t>
        </is>
      </c>
      <c r="K4" s="8" t="inlineStr">
        <is>
          <t>Problema observado</t>
        </is>
      </c>
      <c r="L4" s="8" t="inlineStr">
        <is>
          <t>Tipo</t>
        </is>
      </c>
      <c r="M4" s="8" t="inlineStr">
        <is>
          <t>Gravidade</t>
        </is>
      </c>
      <c r="N4" s="8" t="inlineStr">
        <is>
          <t>Observações</t>
        </is>
      </c>
      <c r="O4" s="8" t="inlineStr">
        <is>
          <t>Ordem em que fez (1º, 2º…)</t>
        </is>
      </c>
    </row>
    <row r="5">
      <c r="A5" s="16" t="inlineStr">
        <is>
          <t>CU1</t>
        </is>
      </c>
      <c r="B5" s="17" t="inlineStr">
        <is>
          <t>C1</t>
        </is>
      </c>
      <c r="C5" s="18">
        <f>IF(B5="","",IFERROR(INDEX(Listas!$E$2:$E$10,MATCH(B5,Listas!$D$2:$D$10,0)),"?"))</f>
        <v/>
      </c>
      <c r="D5" s="17" t="n"/>
      <c r="E5" s="17" t="n"/>
      <c r="F5" s="18">
        <f>IF(AND(D5="",E5=""),"",D5*60+E5)</f>
        <v/>
      </c>
      <c r="G5" s="17" t="n"/>
      <c r="H5" s="17" t="n"/>
      <c r="I5" s="17" t="n"/>
      <c r="J5" s="17" t="n"/>
      <c r="K5" s="17" t="n"/>
      <c r="L5" s="17" t="n"/>
      <c r="M5" s="17" t="n"/>
      <c r="N5" s="17" t="n"/>
      <c r="O5" s="19" t="n"/>
    </row>
    <row r="6">
      <c r="A6" s="20" t="inlineStr">
        <is>
          <t>CU1</t>
        </is>
      </c>
      <c r="B6" s="14" t="inlineStr">
        <is>
          <t>C2</t>
        </is>
      </c>
      <c r="C6" s="21">
        <f>IF(B6="","",IFERROR(INDEX(Listas!$E$2:$E$10,MATCH(B6,Listas!$D$2:$D$10,0)),"?"))</f>
        <v/>
      </c>
      <c r="D6" s="14" t="n"/>
      <c r="E6" s="14" t="n"/>
      <c r="F6" s="21">
        <f>IF(AND(D6="",E6=""),"",D6*60+E6)</f>
        <v/>
      </c>
      <c r="G6" s="14" t="n"/>
      <c r="H6" s="14" t="n"/>
      <c r="I6" s="14" t="n"/>
      <c r="J6" s="14" t="n"/>
      <c r="K6" s="14" t="n"/>
      <c r="L6" s="14" t="n"/>
      <c r="M6" s="14" t="n"/>
      <c r="N6" s="14" t="n"/>
      <c r="O6" s="22" t="n"/>
    </row>
    <row r="7">
      <c r="A7" s="20" t="inlineStr">
        <is>
          <t>CU1</t>
        </is>
      </c>
      <c r="B7" s="14" t="inlineStr">
        <is>
          <t>C3</t>
        </is>
      </c>
      <c r="C7" s="21">
        <f>IF(B7="","",IFERROR(INDEX(Listas!$E$2:$E$10,MATCH(B7,Listas!$D$2:$D$10,0)),"?"))</f>
        <v/>
      </c>
      <c r="D7" s="14" t="n"/>
      <c r="E7" s="14" t="n"/>
      <c r="F7" s="21">
        <f>IF(AND(D7="",E7=""),"",D7*60+E7)</f>
        <v/>
      </c>
      <c r="G7" s="14" t="n"/>
      <c r="H7" s="14" t="n"/>
      <c r="I7" s="14" t="n"/>
      <c r="J7" s="14" t="n"/>
      <c r="K7" s="14" t="n"/>
      <c r="L7" s="14" t="n"/>
      <c r="M7" s="14" t="n"/>
      <c r="N7" s="14" t="n"/>
      <c r="O7" s="22" t="n"/>
    </row>
    <row r="8">
      <c r="A8" s="20" t="inlineStr">
        <is>
          <t>CU1</t>
        </is>
      </c>
      <c r="B8" s="14" t="inlineStr">
        <is>
          <t>C4</t>
        </is>
      </c>
      <c r="C8" s="21">
        <f>IF(B8="","",IFERROR(INDEX(Listas!$E$2:$E$10,MATCH(B8,Listas!$D$2:$D$10,0)),"?"))</f>
        <v/>
      </c>
      <c r="D8" s="14" t="n"/>
      <c r="E8" s="14" t="n"/>
      <c r="F8" s="21">
        <f>IF(AND(D8="",E8=""),"",D8*60+E8)</f>
        <v/>
      </c>
      <c r="G8" s="14" t="n"/>
      <c r="H8" s="14" t="n"/>
      <c r="I8" s="14" t="n"/>
      <c r="J8" s="14" t="n"/>
      <c r="K8" s="14" t="n"/>
      <c r="L8" s="14" t="n"/>
      <c r="M8" s="14" t="n"/>
      <c r="N8" s="14" t="n"/>
      <c r="O8" s="22" t="n"/>
    </row>
    <row r="9">
      <c r="A9" s="20" t="inlineStr">
        <is>
          <t>CU1</t>
        </is>
      </c>
      <c r="B9" s="14" t="inlineStr">
        <is>
          <t>C5</t>
        </is>
      </c>
      <c r="C9" s="21">
        <f>IF(B9="","",IFERROR(INDEX(Listas!$E$2:$E$10,MATCH(B9,Listas!$D$2:$D$10,0)),"?"))</f>
        <v/>
      </c>
      <c r="D9" s="14" t="n"/>
      <c r="E9" s="14" t="n"/>
      <c r="F9" s="21">
        <f>IF(AND(D9="",E9=""),"",D9*60+E9)</f>
        <v/>
      </c>
      <c r="G9" s="14" t="n"/>
      <c r="H9" s="14" t="n"/>
      <c r="I9" s="14" t="n"/>
      <c r="J9" s="14" t="n"/>
      <c r="K9" s="14" t="n"/>
      <c r="L9" s="14" t="n"/>
      <c r="M9" s="14" t="n"/>
      <c r="N9" s="14" t="n"/>
      <c r="O9" s="22" t="n"/>
    </row>
    <row r="10">
      <c r="A10" s="20" t="inlineStr">
        <is>
          <t>CU1</t>
        </is>
      </c>
      <c r="B10" s="14" t="inlineStr">
        <is>
          <t>C6</t>
        </is>
      </c>
      <c r="C10" s="21">
        <f>IF(B10="","",IFERROR(INDEX(Listas!$E$2:$E$10,MATCH(B10,Listas!$D$2:$D$10,0)),"?"))</f>
        <v/>
      </c>
      <c r="D10" s="14" t="n"/>
      <c r="E10" s="14" t="n"/>
      <c r="F10" s="21">
        <f>IF(AND(D10="",E10=""),"",D10*60+E10)</f>
        <v/>
      </c>
      <c r="G10" s="14" t="n"/>
      <c r="H10" s="14" t="n"/>
      <c r="I10" s="14" t="n"/>
      <c r="J10" s="14" t="n"/>
      <c r="K10" s="14" t="n"/>
      <c r="L10" s="14" t="n"/>
      <c r="M10" s="14" t="n"/>
      <c r="N10" s="14" t="n"/>
      <c r="O10" s="22" t="n"/>
    </row>
    <row r="11">
      <c r="A11" s="20" t="inlineStr">
        <is>
          <t>CU1</t>
        </is>
      </c>
      <c r="B11" s="14" t="inlineStr">
        <is>
          <t>C7</t>
        </is>
      </c>
      <c r="C11" s="21">
        <f>IF(B11="","",IFERROR(INDEX(Listas!$E$2:$E$10,MATCH(B11,Listas!$D$2:$D$10,0)),"?"))</f>
        <v/>
      </c>
      <c r="D11" s="14" t="n"/>
      <c r="E11" s="14" t="n"/>
      <c r="F11" s="21">
        <f>IF(AND(D11="",E11=""),"",D11*60+E11)</f>
        <v/>
      </c>
      <c r="G11" s="14" t="n"/>
      <c r="H11" s="14" t="n"/>
      <c r="I11" s="14" t="n"/>
      <c r="J11" s="14" t="n"/>
      <c r="K11" s="14" t="n"/>
      <c r="L11" s="14" t="n"/>
      <c r="M11" s="14" t="n"/>
      <c r="N11" s="14" t="n"/>
      <c r="O11" s="22" t="n"/>
    </row>
    <row r="12">
      <c r="A12" s="20" t="inlineStr">
        <is>
          <t>CU1</t>
        </is>
      </c>
      <c r="B12" s="14" t="inlineStr">
        <is>
          <t>C8</t>
        </is>
      </c>
      <c r="C12" s="21">
        <f>IF(B12="","",IFERROR(INDEX(Listas!$E$2:$E$10,MATCH(B12,Listas!$D$2:$D$10,0)),"?"))</f>
        <v/>
      </c>
      <c r="D12" s="14" t="n"/>
      <c r="E12" s="14" t="n"/>
      <c r="F12" s="21">
        <f>IF(AND(D12="",E12=""),"",D12*60+E12)</f>
        <v/>
      </c>
      <c r="G12" s="14" t="n"/>
      <c r="H12" s="14" t="n"/>
      <c r="I12" s="14" t="n"/>
      <c r="J12" s="14" t="n"/>
      <c r="K12" s="14" t="n"/>
      <c r="L12" s="14" t="n"/>
      <c r="M12" s="14" t="n"/>
      <c r="N12" s="14" t="n"/>
      <c r="O12" s="22" t="n"/>
    </row>
    <row r="13">
      <c r="A13" s="23" t="inlineStr">
        <is>
          <t>CU1</t>
        </is>
      </c>
      <c r="B13" s="24" t="inlineStr">
        <is>
          <t>C9</t>
        </is>
      </c>
      <c r="C13" s="25">
        <f>IF(B13="","",IFERROR(INDEX(Listas!$E$2:$E$10,MATCH(B13,Listas!$D$2:$D$10,0)),"?"))</f>
        <v/>
      </c>
      <c r="D13" s="24" t="n"/>
      <c r="E13" s="24" t="n"/>
      <c r="F13" s="25">
        <f>IF(AND(D13="",E13=""),"",D13*60+E13)</f>
        <v/>
      </c>
      <c r="G13" s="24" t="n"/>
      <c r="H13" s="24" t="n"/>
      <c r="I13" s="24" t="n"/>
      <c r="J13" s="24" t="n"/>
      <c r="K13" s="24" t="n"/>
      <c r="L13" s="24" t="n"/>
      <c r="M13" s="24" t="n"/>
      <c r="N13" s="24" t="n"/>
      <c r="O13" s="26" t="n"/>
    </row>
    <row r="14">
      <c r="A14" s="16" t="inlineStr">
        <is>
          <t>CU2</t>
        </is>
      </c>
      <c r="B14" s="17" t="inlineStr">
        <is>
          <t>C1</t>
        </is>
      </c>
      <c r="C14" s="18">
        <f>IF(B14="","",IFERROR(INDEX(Listas!$E$2:$E$10,MATCH(B14,Listas!$D$2:$D$10,0)),"?"))</f>
        <v/>
      </c>
      <c r="D14" s="17" t="n"/>
      <c r="E14" s="17" t="n"/>
      <c r="F14" s="18">
        <f>IF(AND(D14="",E14=""),"",D14*60+E14)</f>
        <v/>
      </c>
      <c r="G14" s="17" t="n"/>
      <c r="H14" s="17" t="n"/>
      <c r="I14" s="17" t="n"/>
      <c r="J14" s="17" t="n"/>
      <c r="K14" s="17" t="n"/>
      <c r="L14" s="17" t="n"/>
      <c r="M14" s="17" t="n"/>
      <c r="N14" s="17" t="n"/>
      <c r="O14" s="19" t="n"/>
    </row>
    <row r="15">
      <c r="A15" s="20" t="inlineStr">
        <is>
          <t>CU2</t>
        </is>
      </c>
      <c r="B15" s="14" t="inlineStr">
        <is>
          <t>C2</t>
        </is>
      </c>
      <c r="C15" s="21">
        <f>IF(B15="","",IFERROR(INDEX(Listas!$E$2:$E$10,MATCH(B15,Listas!$D$2:$D$10,0)),"?"))</f>
        <v/>
      </c>
      <c r="D15" s="14" t="n"/>
      <c r="E15" s="14" t="n"/>
      <c r="F15" s="21">
        <f>IF(AND(D15="",E15=""),"",D15*60+E15)</f>
        <v/>
      </c>
      <c r="G15" s="14" t="n"/>
      <c r="H15" s="14" t="n"/>
      <c r="I15" s="14" t="n"/>
      <c r="J15" s="14" t="n"/>
      <c r="K15" s="14" t="n"/>
      <c r="L15" s="14" t="n"/>
      <c r="M15" s="14" t="n"/>
      <c r="N15" s="14" t="n"/>
      <c r="O15" s="22" t="n"/>
    </row>
    <row r="16">
      <c r="A16" s="20" t="inlineStr">
        <is>
          <t>CU2</t>
        </is>
      </c>
      <c r="B16" s="14" t="inlineStr">
        <is>
          <t>C3</t>
        </is>
      </c>
      <c r="C16" s="21">
        <f>IF(B16="","",IFERROR(INDEX(Listas!$E$2:$E$10,MATCH(B16,Listas!$D$2:$D$10,0)),"?"))</f>
        <v/>
      </c>
      <c r="D16" s="14" t="n"/>
      <c r="E16" s="14" t="n"/>
      <c r="F16" s="21">
        <f>IF(AND(D16="",E16=""),"",D16*60+E16)</f>
        <v/>
      </c>
      <c r="G16" s="14" t="n"/>
      <c r="H16" s="14" t="n"/>
      <c r="I16" s="14" t="n"/>
      <c r="J16" s="14" t="n"/>
      <c r="K16" s="14" t="n"/>
      <c r="L16" s="14" t="n"/>
      <c r="M16" s="14" t="n"/>
      <c r="N16" s="14" t="n"/>
      <c r="O16" s="22" t="n"/>
    </row>
    <row r="17">
      <c r="A17" s="20" t="inlineStr">
        <is>
          <t>CU2</t>
        </is>
      </c>
      <c r="B17" s="14" t="inlineStr">
        <is>
          <t>C4</t>
        </is>
      </c>
      <c r="C17" s="21">
        <f>IF(B17="","",IFERROR(INDEX(Listas!$E$2:$E$10,MATCH(B17,Listas!$D$2:$D$10,0)),"?"))</f>
        <v/>
      </c>
      <c r="D17" s="14" t="n"/>
      <c r="E17" s="14" t="n"/>
      <c r="F17" s="21">
        <f>IF(AND(D17="",E17=""),"",D17*60+E17)</f>
        <v/>
      </c>
      <c r="G17" s="14" t="n"/>
      <c r="H17" s="14" t="n"/>
      <c r="I17" s="14" t="n"/>
      <c r="J17" s="14" t="n"/>
      <c r="K17" s="14" t="n"/>
      <c r="L17" s="14" t="n"/>
      <c r="M17" s="14" t="n"/>
      <c r="N17" s="14" t="n"/>
      <c r="O17" s="22" t="n"/>
    </row>
    <row r="18">
      <c r="A18" s="20" t="inlineStr">
        <is>
          <t>CU2</t>
        </is>
      </c>
      <c r="B18" s="14" t="inlineStr">
        <is>
          <t>C5</t>
        </is>
      </c>
      <c r="C18" s="21">
        <f>IF(B18="","",IFERROR(INDEX(Listas!$E$2:$E$10,MATCH(B18,Listas!$D$2:$D$10,0)),"?"))</f>
        <v/>
      </c>
      <c r="D18" s="14" t="n"/>
      <c r="E18" s="14" t="n"/>
      <c r="F18" s="21">
        <f>IF(AND(D18="",E18=""),"",D18*60+E18)</f>
        <v/>
      </c>
      <c r="G18" s="14" t="n"/>
      <c r="H18" s="14" t="n"/>
      <c r="I18" s="14" t="n"/>
      <c r="J18" s="14" t="n"/>
      <c r="K18" s="14" t="n"/>
      <c r="L18" s="14" t="n"/>
      <c r="M18" s="14" t="n"/>
      <c r="N18" s="14" t="n"/>
      <c r="O18" s="22" t="n"/>
    </row>
    <row r="19">
      <c r="A19" s="20" t="inlineStr">
        <is>
          <t>CU2</t>
        </is>
      </c>
      <c r="B19" s="14" t="inlineStr">
        <is>
          <t>C6</t>
        </is>
      </c>
      <c r="C19" s="21">
        <f>IF(B19="","",IFERROR(INDEX(Listas!$E$2:$E$10,MATCH(B19,Listas!$D$2:$D$10,0)),"?"))</f>
        <v/>
      </c>
      <c r="D19" s="14" t="n"/>
      <c r="E19" s="14" t="n"/>
      <c r="F19" s="21">
        <f>IF(AND(D19="",E19=""),"",D19*60+E19)</f>
        <v/>
      </c>
      <c r="G19" s="14" t="n"/>
      <c r="H19" s="14" t="n"/>
      <c r="I19" s="14" t="n"/>
      <c r="J19" s="14" t="n"/>
      <c r="K19" s="14" t="n"/>
      <c r="L19" s="14" t="n"/>
      <c r="M19" s="14" t="n"/>
      <c r="N19" s="14" t="n"/>
      <c r="O19" s="22" t="n"/>
    </row>
    <row r="20">
      <c r="A20" s="20" t="inlineStr">
        <is>
          <t>CU2</t>
        </is>
      </c>
      <c r="B20" s="14" t="inlineStr">
        <is>
          <t>C7</t>
        </is>
      </c>
      <c r="C20" s="21">
        <f>IF(B20="","",IFERROR(INDEX(Listas!$E$2:$E$10,MATCH(B20,Listas!$D$2:$D$10,0)),"?"))</f>
        <v/>
      </c>
      <c r="D20" s="14" t="n"/>
      <c r="E20" s="14" t="n"/>
      <c r="F20" s="21">
        <f>IF(AND(D20="",E20=""),"",D20*60+E20)</f>
        <v/>
      </c>
      <c r="G20" s="14" t="n"/>
      <c r="H20" s="14" t="n"/>
      <c r="I20" s="14" t="n"/>
      <c r="J20" s="14" t="n"/>
      <c r="K20" s="14" t="n"/>
      <c r="L20" s="14" t="n"/>
      <c r="M20" s="14" t="n"/>
      <c r="N20" s="14" t="n"/>
      <c r="O20" s="22" t="n"/>
    </row>
    <row r="21">
      <c r="A21" s="20" t="inlineStr">
        <is>
          <t>CU2</t>
        </is>
      </c>
      <c r="B21" s="14" t="inlineStr">
        <is>
          <t>C8</t>
        </is>
      </c>
      <c r="C21" s="21">
        <f>IF(B21="","",IFERROR(INDEX(Listas!$E$2:$E$10,MATCH(B21,Listas!$D$2:$D$10,0)),"?"))</f>
        <v/>
      </c>
      <c r="D21" s="14" t="n"/>
      <c r="E21" s="14" t="n"/>
      <c r="F21" s="21">
        <f>IF(AND(D21="",E21=""),"",D21*60+E21)</f>
        <v/>
      </c>
      <c r="G21" s="14" t="n"/>
      <c r="H21" s="14" t="n"/>
      <c r="I21" s="14" t="n"/>
      <c r="J21" s="14" t="n"/>
      <c r="K21" s="14" t="n"/>
      <c r="L21" s="14" t="n"/>
      <c r="M21" s="14" t="n"/>
      <c r="N21" s="14" t="n"/>
      <c r="O21" s="22" t="n"/>
    </row>
    <row r="22">
      <c r="A22" s="23" t="inlineStr">
        <is>
          <t>CU2</t>
        </is>
      </c>
      <c r="B22" s="24" t="inlineStr">
        <is>
          <t>C9</t>
        </is>
      </c>
      <c r="C22" s="25">
        <f>IF(B22="","",IFERROR(INDEX(Listas!$E$2:$E$10,MATCH(B22,Listas!$D$2:$D$10,0)),"?"))</f>
        <v/>
      </c>
      <c r="D22" s="24" t="n"/>
      <c r="E22" s="24" t="n"/>
      <c r="F22" s="25">
        <f>IF(AND(D22="",E22=""),"",D22*60+E22)</f>
        <v/>
      </c>
      <c r="G22" s="24" t="n"/>
      <c r="H22" s="24" t="n"/>
      <c r="I22" s="24" t="n"/>
      <c r="J22" s="24" t="n"/>
      <c r="K22" s="24" t="n"/>
      <c r="L22" s="24" t="n"/>
      <c r="M22" s="24" t="n"/>
      <c r="N22" s="24" t="n"/>
      <c r="O22" s="26" t="n"/>
    </row>
    <row r="23">
      <c r="A23" s="16" t="inlineStr">
        <is>
          <t>CU3</t>
        </is>
      </c>
      <c r="B23" s="17" t="inlineStr">
        <is>
          <t>C1</t>
        </is>
      </c>
      <c r="C23" s="18">
        <f>IF(B23="","",IFERROR(INDEX(Listas!$E$2:$E$10,MATCH(B23,Listas!$D$2:$D$10,0)),"?"))</f>
        <v/>
      </c>
      <c r="D23" s="17" t="n"/>
      <c r="E23" s="17" t="n"/>
      <c r="F23" s="18">
        <f>IF(AND(D23="",E23=""),"",D23*60+E23)</f>
        <v/>
      </c>
      <c r="G23" s="17" t="n"/>
      <c r="H23" s="17" t="n"/>
      <c r="I23" s="17" t="n"/>
      <c r="J23" s="17" t="n"/>
      <c r="K23" s="17" t="n"/>
      <c r="L23" s="17" t="n"/>
      <c r="M23" s="17" t="n"/>
      <c r="N23" s="17" t="n"/>
      <c r="O23" s="19" t="n"/>
    </row>
    <row r="24">
      <c r="A24" s="20" t="inlineStr">
        <is>
          <t>CU3</t>
        </is>
      </c>
      <c r="B24" s="14" t="inlineStr">
        <is>
          <t>C2</t>
        </is>
      </c>
      <c r="C24" s="21">
        <f>IF(B24="","",IFERROR(INDEX(Listas!$E$2:$E$10,MATCH(B24,Listas!$D$2:$D$10,0)),"?"))</f>
        <v/>
      </c>
      <c r="D24" s="14" t="n"/>
      <c r="E24" s="14" t="n"/>
      <c r="F24" s="21">
        <f>IF(AND(D24="",E24=""),"",D24*60+E24)</f>
        <v/>
      </c>
      <c r="G24" s="14" t="n"/>
      <c r="H24" s="14" t="n"/>
      <c r="I24" s="14" t="n"/>
      <c r="J24" s="14" t="n"/>
      <c r="K24" s="14" t="n"/>
      <c r="L24" s="14" t="n"/>
      <c r="M24" s="14" t="n"/>
      <c r="N24" s="14" t="n"/>
      <c r="O24" s="22" t="n"/>
    </row>
    <row r="25">
      <c r="A25" s="20" t="inlineStr">
        <is>
          <t>CU3</t>
        </is>
      </c>
      <c r="B25" s="14" t="inlineStr">
        <is>
          <t>C3</t>
        </is>
      </c>
      <c r="C25" s="21">
        <f>IF(B25="","",IFERROR(INDEX(Listas!$E$2:$E$10,MATCH(B25,Listas!$D$2:$D$10,0)),"?"))</f>
        <v/>
      </c>
      <c r="D25" s="14" t="n"/>
      <c r="E25" s="14" t="n"/>
      <c r="F25" s="21">
        <f>IF(AND(D25="",E25=""),"",D25*60+E25)</f>
        <v/>
      </c>
      <c r="G25" s="14" t="n"/>
      <c r="H25" s="14" t="n"/>
      <c r="I25" s="14" t="n"/>
      <c r="J25" s="14" t="n"/>
      <c r="K25" s="14" t="n"/>
      <c r="L25" s="14" t="n"/>
      <c r="M25" s="14" t="n"/>
      <c r="N25" s="14" t="n"/>
      <c r="O25" s="22" t="n"/>
    </row>
    <row r="26">
      <c r="A26" s="20" t="inlineStr">
        <is>
          <t>CU3</t>
        </is>
      </c>
      <c r="B26" s="14" t="inlineStr">
        <is>
          <t>C4</t>
        </is>
      </c>
      <c r="C26" s="21">
        <f>IF(B26="","",IFERROR(INDEX(Listas!$E$2:$E$10,MATCH(B26,Listas!$D$2:$D$10,0)),"?"))</f>
        <v/>
      </c>
      <c r="D26" s="14" t="n"/>
      <c r="E26" s="14" t="n"/>
      <c r="F26" s="21">
        <f>IF(AND(D26="",E26=""),"",D26*60+E26)</f>
        <v/>
      </c>
      <c r="G26" s="14" t="n"/>
      <c r="H26" s="14" t="n"/>
      <c r="I26" s="14" t="n"/>
      <c r="J26" s="14" t="n"/>
      <c r="K26" s="14" t="n"/>
      <c r="L26" s="14" t="n"/>
      <c r="M26" s="14" t="n"/>
      <c r="N26" s="14" t="n"/>
      <c r="O26" s="22" t="n"/>
    </row>
    <row r="27">
      <c r="A27" s="20" t="inlineStr">
        <is>
          <t>CU3</t>
        </is>
      </c>
      <c r="B27" s="14" t="inlineStr">
        <is>
          <t>C5</t>
        </is>
      </c>
      <c r="C27" s="21">
        <f>IF(B27="","",IFERROR(INDEX(Listas!$E$2:$E$10,MATCH(B27,Listas!$D$2:$D$10,0)),"?"))</f>
        <v/>
      </c>
      <c r="D27" s="14" t="n"/>
      <c r="E27" s="14" t="n"/>
      <c r="F27" s="21">
        <f>IF(AND(D27="",E27=""),"",D27*60+E27)</f>
        <v/>
      </c>
      <c r="G27" s="14" t="n"/>
      <c r="H27" s="14" t="n"/>
      <c r="I27" s="14" t="n"/>
      <c r="J27" s="14" t="n"/>
      <c r="K27" s="14" t="n"/>
      <c r="L27" s="14" t="n"/>
      <c r="M27" s="14" t="n"/>
      <c r="N27" s="14" t="n"/>
      <c r="O27" s="22" t="n"/>
    </row>
    <row r="28">
      <c r="A28" s="20" t="inlineStr">
        <is>
          <t>CU3</t>
        </is>
      </c>
      <c r="B28" s="14" t="inlineStr">
        <is>
          <t>C6</t>
        </is>
      </c>
      <c r="C28" s="21">
        <f>IF(B28="","",IFERROR(INDEX(Listas!$E$2:$E$10,MATCH(B28,Listas!$D$2:$D$10,0)),"?"))</f>
        <v/>
      </c>
      <c r="D28" s="14" t="n"/>
      <c r="E28" s="14" t="n"/>
      <c r="F28" s="21">
        <f>IF(AND(D28="",E28=""),"",D28*60+E28)</f>
        <v/>
      </c>
      <c r="G28" s="14" t="n"/>
      <c r="H28" s="14" t="n"/>
      <c r="I28" s="14" t="n"/>
      <c r="J28" s="14" t="n"/>
      <c r="K28" s="14" t="n"/>
      <c r="L28" s="14" t="n"/>
      <c r="M28" s="14" t="n"/>
      <c r="N28" s="14" t="n"/>
      <c r="O28" s="22" t="n"/>
    </row>
    <row r="29">
      <c r="A29" s="20" t="inlineStr">
        <is>
          <t>CU3</t>
        </is>
      </c>
      <c r="B29" s="14" t="inlineStr">
        <is>
          <t>C7</t>
        </is>
      </c>
      <c r="C29" s="21">
        <f>IF(B29="","",IFERROR(INDEX(Listas!$E$2:$E$10,MATCH(B29,Listas!$D$2:$D$10,0)),"?"))</f>
        <v/>
      </c>
      <c r="D29" s="14" t="n"/>
      <c r="E29" s="14" t="n"/>
      <c r="F29" s="21">
        <f>IF(AND(D29="",E29=""),"",D29*60+E29)</f>
        <v/>
      </c>
      <c r="G29" s="14" t="n"/>
      <c r="H29" s="14" t="n"/>
      <c r="I29" s="14" t="n"/>
      <c r="J29" s="14" t="n"/>
      <c r="K29" s="14" t="n"/>
      <c r="L29" s="14" t="n"/>
      <c r="M29" s="14" t="n"/>
      <c r="N29" s="14" t="n"/>
      <c r="O29" s="22" t="n"/>
    </row>
    <row r="30">
      <c r="A30" s="20" t="inlineStr">
        <is>
          <t>CU3</t>
        </is>
      </c>
      <c r="B30" s="14" t="inlineStr">
        <is>
          <t>C8</t>
        </is>
      </c>
      <c r="C30" s="21">
        <f>IF(B30="","",IFERROR(INDEX(Listas!$E$2:$E$10,MATCH(B30,Listas!$D$2:$D$10,0)),"?"))</f>
        <v/>
      </c>
      <c r="D30" s="14" t="n"/>
      <c r="E30" s="14" t="n"/>
      <c r="F30" s="21">
        <f>IF(AND(D30="",E30=""),"",D30*60+E30)</f>
        <v/>
      </c>
      <c r="G30" s="14" t="n"/>
      <c r="H30" s="14" t="n"/>
      <c r="I30" s="14" t="n"/>
      <c r="J30" s="14" t="n"/>
      <c r="K30" s="14" t="n"/>
      <c r="L30" s="14" t="n"/>
      <c r="M30" s="14" t="n"/>
      <c r="N30" s="14" t="n"/>
      <c r="O30" s="22" t="n"/>
    </row>
    <row r="31">
      <c r="A31" s="23" t="inlineStr">
        <is>
          <t>CU3</t>
        </is>
      </c>
      <c r="B31" s="24" t="inlineStr">
        <is>
          <t>C9</t>
        </is>
      </c>
      <c r="C31" s="25">
        <f>IF(B31="","",IFERROR(INDEX(Listas!$E$2:$E$10,MATCH(B31,Listas!$D$2:$D$10,0)),"?"))</f>
        <v/>
      </c>
      <c r="D31" s="24" t="n"/>
      <c r="E31" s="24" t="n"/>
      <c r="F31" s="25">
        <f>IF(AND(D31="",E31=""),"",D31*60+E31)</f>
        <v/>
      </c>
      <c r="G31" s="24" t="n"/>
      <c r="H31" s="24" t="n"/>
      <c r="I31" s="24" t="n"/>
      <c r="J31" s="24" t="n"/>
      <c r="K31" s="24" t="n"/>
      <c r="L31" s="24" t="n"/>
      <c r="M31" s="24" t="n"/>
      <c r="N31" s="24" t="n"/>
      <c r="O31" s="26" t="n"/>
    </row>
    <row r="32">
      <c r="A32" s="14" t="n"/>
      <c r="B32" s="14" t="n"/>
      <c r="C32" s="21">
        <f>IF(B32="","",IFERROR(INDEX(Listas!$E$2:$E$10,MATCH(B32,Listas!$D$2:$D$10,0)),"?"))</f>
        <v/>
      </c>
      <c r="D32" s="14" t="n"/>
      <c r="E32" s="14" t="n"/>
      <c r="F32" s="21">
        <f>IF(AND(D32="",E32=""),"",D32*60+E32)</f>
        <v/>
      </c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</row>
    <row r="33">
      <c r="A33" s="14" t="n"/>
      <c r="B33" s="14" t="n"/>
      <c r="C33" s="21">
        <f>IF(B33="","",IFERROR(INDEX(Listas!$E$2:$E$10,MATCH(B33,Listas!$D$2:$D$10,0)),"?"))</f>
        <v/>
      </c>
      <c r="D33" s="14" t="n"/>
      <c r="E33" s="14" t="n"/>
      <c r="F33" s="21">
        <f>IF(AND(D33="",E33=""),"",D33*60+E33)</f>
        <v/>
      </c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</row>
    <row r="34">
      <c r="A34" s="14" t="n"/>
      <c r="B34" s="14" t="n"/>
      <c r="C34" s="21">
        <f>IF(B34="","",IFERROR(INDEX(Listas!$E$2:$E$10,MATCH(B34,Listas!$D$2:$D$10,0)),"?"))</f>
        <v/>
      </c>
      <c r="D34" s="14" t="n"/>
      <c r="E34" s="14" t="n"/>
      <c r="F34" s="21">
        <f>IF(AND(D34="",E34=""),"",D34*60+E34)</f>
        <v/>
      </c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4" t="n"/>
      <c r="B35" s="14" t="n"/>
      <c r="C35" s="21">
        <f>IF(B35="","",IFERROR(INDEX(Listas!$E$2:$E$10,MATCH(B35,Listas!$D$2:$D$10,0)),"?"))</f>
        <v/>
      </c>
      <c r="D35" s="14" t="n"/>
      <c r="E35" s="14" t="n"/>
      <c r="F35" s="21">
        <f>IF(AND(D35="",E35=""),"",D35*60+E35)</f>
        <v/>
      </c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4" t="n"/>
      <c r="B36" s="14" t="n"/>
      <c r="C36" s="21">
        <f>IF(B36="","",IFERROR(INDEX(Listas!$E$2:$E$10,MATCH(B36,Listas!$D$2:$D$10,0)),"?"))</f>
        <v/>
      </c>
      <c r="D36" s="14" t="n"/>
      <c r="E36" s="14" t="n"/>
      <c r="F36" s="21">
        <f>IF(AND(D36="",E36=""),"",D36*60+E36)</f>
        <v/>
      </c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4" t="n"/>
      <c r="B37" s="14" t="n"/>
      <c r="C37" s="21">
        <f>IF(B37="","",IFERROR(INDEX(Listas!$E$2:$E$10,MATCH(B37,Listas!$D$2:$D$10,0)),"?"))</f>
        <v/>
      </c>
      <c r="D37" s="14" t="n"/>
      <c r="E37" s="14" t="n"/>
      <c r="F37" s="21">
        <f>IF(AND(D37="",E37=""),"",D37*60+E37)</f>
        <v/>
      </c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</row>
    <row r="38">
      <c r="A38" s="14" t="n"/>
      <c r="B38" s="14" t="n"/>
      <c r="C38" s="21">
        <f>IF(B38="","",IFERROR(INDEX(Listas!$E$2:$E$10,MATCH(B38,Listas!$D$2:$D$10,0)),"?"))</f>
        <v/>
      </c>
      <c r="D38" s="14" t="n"/>
      <c r="E38" s="14" t="n"/>
      <c r="F38" s="21">
        <f>IF(AND(D38="",E38=""),"",D38*60+E38)</f>
        <v/>
      </c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</row>
    <row r="39">
      <c r="A39" s="14" t="n"/>
      <c r="B39" s="14" t="n"/>
      <c r="C39" s="21">
        <f>IF(B39="","",IFERROR(INDEX(Listas!$E$2:$E$10,MATCH(B39,Listas!$D$2:$D$10,0)),"?"))</f>
        <v/>
      </c>
      <c r="D39" s="14" t="n"/>
      <c r="E39" s="14" t="n"/>
      <c r="F39" s="21">
        <f>IF(AND(D39="",E39=""),"",D39*60+E39)</f>
        <v/>
      </c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</row>
    <row r="40">
      <c r="A40" s="14" t="n"/>
      <c r="B40" s="14" t="n"/>
      <c r="C40" s="21">
        <f>IF(B40="","",IFERROR(INDEX(Listas!$E$2:$E$10,MATCH(B40,Listas!$D$2:$D$10,0)),"?"))</f>
        <v/>
      </c>
      <c r="D40" s="14" t="n"/>
      <c r="E40" s="14" t="n"/>
      <c r="F40" s="21">
        <f>IF(AND(D40="",E40=""),"",D40*60+E40)</f>
        <v/>
      </c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</row>
    <row r="41">
      <c r="A41" s="14" t="n"/>
      <c r="B41" s="14" t="n"/>
      <c r="C41" s="21">
        <f>IF(B41="","",IFERROR(INDEX(Listas!$E$2:$E$10,MATCH(B41,Listas!$D$2:$D$10,0)),"?"))</f>
        <v/>
      </c>
      <c r="D41" s="14" t="n"/>
      <c r="E41" s="14" t="n"/>
      <c r="F41" s="21">
        <f>IF(AND(D41="",E41=""),"",D41*60+E41)</f>
        <v/>
      </c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</row>
    <row r="42">
      <c r="A42" s="14" t="n"/>
      <c r="B42" s="14" t="n"/>
      <c r="C42" s="21">
        <f>IF(B42="","",IFERROR(INDEX(Listas!$E$2:$E$10,MATCH(B42,Listas!$D$2:$D$10,0)),"?"))</f>
        <v/>
      </c>
      <c r="D42" s="14" t="n"/>
      <c r="E42" s="14" t="n"/>
      <c r="F42" s="21">
        <f>IF(AND(D42="",E42=""),"",D42*60+E42)</f>
        <v/>
      </c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</row>
    <row r="43">
      <c r="A43" s="14" t="n"/>
      <c r="B43" s="14" t="n"/>
      <c r="C43" s="21">
        <f>IF(B43="","",IFERROR(INDEX(Listas!$E$2:$E$10,MATCH(B43,Listas!$D$2:$D$10,0)),"?"))</f>
        <v/>
      </c>
      <c r="D43" s="14" t="n"/>
      <c r="E43" s="14" t="n"/>
      <c r="F43" s="21">
        <f>IF(AND(D43="",E43=""),"",D43*60+E43)</f>
        <v/>
      </c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</row>
    <row r="44">
      <c r="A44" s="14" t="n"/>
      <c r="B44" s="14" t="n"/>
      <c r="C44" s="21">
        <f>IF(B44="","",IFERROR(INDEX(Listas!$E$2:$E$10,MATCH(B44,Listas!$D$2:$D$10,0)),"?"))</f>
        <v/>
      </c>
      <c r="D44" s="14" t="n"/>
      <c r="E44" s="14" t="n"/>
      <c r="F44" s="21">
        <f>IF(AND(D44="",E44=""),"",D44*60+E44)</f>
        <v/>
      </c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</row>
    <row r="45">
      <c r="A45" s="14" t="n"/>
      <c r="B45" s="14" t="n"/>
      <c r="C45" s="21">
        <f>IF(B45="","",IFERROR(INDEX(Listas!$E$2:$E$10,MATCH(B45,Listas!$D$2:$D$10,0)),"?"))</f>
        <v/>
      </c>
      <c r="D45" s="14" t="n"/>
      <c r="E45" s="14" t="n"/>
      <c r="F45" s="21">
        <f>IF(AND(D45="",E45=""),"",D45*60+E45)</f>
        <v/>
      </c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</row>
    <row r="46">
      <c r="A46" s="14" t="n"/>
      <c r="B46" s="14" t="n"/>
      <c r="C46" s="21">
        <f>IF(B46="","",IFERROR(INDEX(Listas!$E$2:$E$10,MATCH(B46,Listas!$D$2:$D$10,0)),"?"))</f>
        <v/>
      </c>
      <c r="D46" s="14" t="n"/>
      <c r="E46" s="14" t="n"/>
      <c r="F46" s="21">
        <f>IF(AND(D46="",E46=""),"",D46*60+E46)</f>
        <v/>
      </c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</row>
    <row r="47">
      <c r="A47" s="14" t="n"/>
      <c r="B47" s="14" t="n"/>
      <c r="C47" s="21">
        <f>IF(B47="","",IFERROR(INDEX(Listas!$E$2:$E$10,MATCH(B47,Listas!$D$2:$D$10,0)),"?"))</f>
        <v/>
      </c>
      <c r="D47" s="14" t="n"/>
      <c r="E47" s="14" t="n"/>
      <c r="F47" s="21">
        <f>IF(AND(D47="",E47=""),"",D47*60+E47)</f>
        <v/>
      </c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</row>
    <row r="48">
      <c r="A48" s="14" t="n"/>
      <c r="B48" s="14" t="n"/>
      <c r="C48" s="21">
        <f>IF(B48="","",IFERROR(INDEX(Listas!$E$2:$E$10,MATCH(B48,Listas!$D$2:$D$10,0)),"?"))</f>
        <v/>
      </c>
      <c r="D48" s="14" t="n"/>
      <c r="E48" s="14" t="n"/>
      <c r="F48" s="21">
        <f>IF(AND(D48="",E48=""),"",D48*60+E48)</f>
        <v/>
      </c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</row>
    <row r="49">
      <c r="A49" s="14" t="n"/>
      <c r="B49" s="14" t="n"/>
      <c r="C49" s="21">
        <f>IF(B49="","",IFERROR(INDEX(Listas!$E$2:$E$10,MATCH(B49,Listas!$D$2:$D$10,0)),"?"))</f>
        <v/>
      </c>
      <c r="D49" s="14" t="n"/>
      <c r="E49" s="14" t="n"/>
      <c r="F49" s="21">
        <f>IF(AND(D49="",E49=""),"",D49*60+E49)</f>
        <v/>
      </c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</row>
    <row r="50">
      <c r="A50" s="14" t="n"/>
      <c r="B50" s="14" t="n"/>
      <c r="C50" s="21">
        <f>IF(B50="","",IFERROR(INDEX(Listas!$E$2:$E$10,MATCH(B50,Listas!$D$2:$D$10,0)),"?"))</f>
        <v/>
      </c>
      <c r="D50" s="14" t="n"/>
      <c r="E50" s="14" t="n"/>
      <c r="F50" s="21">
        <f>IF(AND(D50="",E50=""),"",D50*60+E50)</f>
        <v/>
      </c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</row>
    <row r="51">
      <c r="A51" s="14" t="n"/>
      <c r="B51" s="14" t="n"/>
      <c r="C51" s="21">
        <f>IF(B51="","",IFERROR(INDEX(Listas!$E$2:$E$10,MATCH(B51,Listas!$D$2:$D$10,0)),"?"))</f>
        <v/>
      </c>
      <c r="D51" s="14" t="n"/>
      <c r="E51" s="14" t="n"/>
      <c r="F51" s="21">
        <f>IF(AND(D51="",E51=""),"",D51*60+E51)</f>
        <v/>
      </c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</row>
    <row r="52">
      <c r="A52" s="14" t="n"/>
      <c r="B52" s="14" t="n"/>
      <c r="C52" s="21">
        <f>IF(B52="","",IFERROR(INDEX(Listas!$E$2:$E$10,MATCH(B52,Listas!$D$2:$D$10,0)),"?"))</f>
        <v/>
      </c>
      <c r="D52" s="14" t="n"/>
      <c r="E52" s="14" t="n"/>
      <c r="F52" s="21">
        <f>IF(AND(D52="",E52=""),"",D52*60+E52)</f>
        <v/>
      </c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</row>
    <row r="53">
      <c r="A53" s="14" t="n"/>
      <c r="B53" s="14" t="n"/>
      <c r="C53" s="21">
        <f>IF(B53="","",IFERROR(INDEX(Listas!$E$2:$E$10,MATCH(B53,Listas!$D$2:$D$10,0)),"?"))</f>
        <v/>
      </c>
      <c r="D53" s="14" t="n"/>
      <c r="E53" s="14" t="n"/>
      <c r="F53" s="21">
        <f>IF(AND(D53="",E53=""),"",D53*60+E53)</f>
        <v/>
      </c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</row>
    <row r="54">
      <c r="A54" s="14" t="n"/>
      <c r="B54" s="14" t="n"/>
      <c r="C54" s="21">
        <f>IF(B54="","",IFERROR(INDEX(Listas!$E$2:$E$10,MATCH(B54,Listas!$D$2:$D$10,0)),"?"))</f>
        <v/>
      </c>
      <c r="D54" s="14" t="n"/>
      <c r="E54" s="14" t="n"/>
      <c r="F54" s="21">
        <f>IF(AND(D54="",E54=""),"",D54*60+E54)</f>
        <v/>
      </c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</row>
    <row r="55">
      <c r="A55" s="14" t="n"/>
      <c r="B55" s="14" t="n"/>
      <c r="C55" s="21">
        <f>IF(B55="","",IFERROR(INDEX(Listas!$E$2:$E$10,MATCH(B55,Listas!$D$2:$D$10,0)),"?"))</f>
        <v/>
      </c>
      <c r="D55" s="14" t="n"/>
      <c r="E55" s="14" t="n"/>
      <c r="F55" s="21">
        <f>IF(AND(D55="",E55=""),"",D55*60+E55)</f>
        <v/>
      </c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</row>
    <row r="56">
      <c r="A56" s="14" t="n"/>
      <c r="B56" s="14" t="n"/>
      <c r="C56" s="21">
        <f>IF(B56="","",IFERROR(INDEX(Listas!$E$2:$E$10,MATCH(B56,Listas!$D$2:$D$10,0)),"?"))</f>
        <v/>
      </c>
      <c r="D56" s="14" t="n"/>
      <c r="E56" s="14" t="n"/>
      <c r="F56" s="21">
        <f>IF(AND(D56="",E56=""),"",D56*60+E56)</f>
        <v/>
      </c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</row>
    <row r="57">
      <c r="A57" s="14" t="n"/>
      <c r="B57" s="14" t="n"/>
      <c r="C57" s="21">
        <f>IF(B57="","",IFERROR(INDEX(Listas!$E$2:$E$10,MATCH(B57,Listas!$D$2:$D$10,0)),"?"))</f>
        <v/>
      </c>
      <c r="D57" s="14" t="n"/>
      <c r="E57" s="14" t="n"/>
      <c r="F57" s="21">
        <f>IF(AND(D57="",E57=""),"",D57*60+E57)</f>
        <v/>
      </c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</row>
    <row r="58">
      <c r="A58" s="14" t="n"/>
      <c r="B58" s="14" t="n"/>
      <c r="C58" s="21">
        <f>IF(B58="","",IFERROR(INDEX(Listas!$E$2:$E$10,MATCH(B58,Listas!$D$2:$D$10,0)),"?"))</f>
        <v/>
      </c>
      <c r="D58" s="14" t="n"/>
      <c r="E58" s="14" t="n"/>
      <c r="F58" s="21">
        <f>IF(AND(D58="",E58=""),"",D58*60+E58)</f>
        <v/>
      </c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</row>
    <row r="59">
      <c r="A59" s="14" t="n"/>
      <c r="B59" s="14" t="n"/>
      <c r="C59" s="21">
        <f>IF(B59="","",IFERROR(INDEX(Listas!$E$2:$E$10,MATCH(B59,Listas!$D$2:$D$10,0)),"?"))</f>
        <v/>
      </c>
      <c r="D59" s="14" t="n"/>
      <c r="E59" s="14" t="n"/>
      <c r="F59" s="21">
        <f>IF(AND(D59="",E59=""),"",D59*60+E59)</f>
        <v/>
      </c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</row>
    <row r="60">
      <c r="A60" s="14" t="n"/>
      <c r="B60" s="14" t="n"/>
      <c r="C60" s="21">
        <f>IF(B60="","",IFERROR(INDEX(Listas!$E$2:$E$10,MATCH(B60,Listas!$D$2:$D$10,0)),"?"))</f>
        <v/>
      </c>
      <c r="D60" s="14" t="n"/>
      <c r="E60" s="14" t="n"/>
      <c r="F60" s="21">
        <f>IF(AND(D60="",E60=""),"",D60*60+E60)</f>
        <v/>
      </c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</row>
    <row r="61">
      <c r="A61" s="14" t="n"/>
      <c r="B61" s="14" t="n"/>
      <c r="C61" s="21">
        <f>IF(B61="","",IFERROR(INDEX(Listas!$E$2:$E$10,MATCH(B61,Listas!$D$2:$D$10,0)),"?"))</f>
        <v/>
      </c>
      <c r="D61" s="14" t="n"/>
      <c r="E61" s="14" t="n"/>
      <c r="F61" s="21">
        <f>IF(AND(D61="",E61=""),"",D61*60+E61)</f>
        <v/>
      </c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</row>
    <row r="62">
      <c r="A62" s="14" t="n"/>
      <c r="B62" s="14" t="n"/>
      <c r="C62" s="21">
        <f>IF(B62="","",IFERROR(INDEX(Listas!$E$2:$E$10,MATCH(B62,Listas!$D$2:$D$10,0)),"?"))</f>
        <v/>
      </c>
      <c r="D62" s="14" t="n"/>
      <c r="E62" s="14" t="n"/>
      <c r="F62" s="21">
        <f>IF(AND(D62="",E62=""),"",D62*60+E62)</f>
        <v/>
      </c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</row>
    <row r="63">
      <c r="A63" s="14" t="n"/>
      <c r="B63" s="14" t="n"/>
      <c r="C63" s="21">
        <f>IF(B63="","",IFERROR(INDEX(Listas!$E$2:$E$10,MATCH(B63,Listas!$D$2:$D$10,0)),"?"))</f>
        <v/>
      </c>
      <c r="D63" s="14" t="n"/>
      <c r="E63" s="14" t="n"/>
      <c r="F63" s="21">
        <f>IF(AND(D63="",E63=""),"",D63*60+E63)</f>
        <v/>
      </c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</row>
    <row r="64">
      <c r="A64" s="14" t="n"/>
      <c r="B64" s="14" t="n"/>
      <c r="C64" s="21">
        <f>IF(B64="","",IFERROR(INDEX(Listas!$E$2:$E$10,MATCH(B64,Listas!$D$2:$D$10,0)),"?"))</f>
        <v/>
      </c>
      <c r="D64" s="14" t="n"/>
      <c r="E64" s="14" t="n"/>
      <c r="F64" s="21">
        <f>IF(AND(D64="",E64=""),"",D64*60+E64)</f>
        <v/>
      </c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</row>
    <row r="65">
      <c r="A65" s="14" t="n"/>
      <c r="B65" s="14" t="n"/>
      <c r="C65" s="21">
        <f>IF(B65="","",IFERROR(INDEX(Listas!$E$2:$E$10,MATCH(B65,Listas!$D$2:$D$10,0)),"?"))</f>
        <v/>
      </c>
      <c r="D65" s="14" t="n"/>
      <c r="E65" s="14" t="n"/>
      <c r="F65" s="21">
        <f>IF(AND(D65="",E65=""),"",D65*60+E65)</f>
        <v/>
      </c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</row>
    <row r="66">
      <c r="A66" s="14" t="n"/>
      <c r="B66" s="14" t="n"/>
      <c r="C66" s="21">
        <f>IF(B66="","",IFERROR(INDEX(Listas!$E$2:$E$10,MATCH(B66,Listas!$D$2:$D$10,0)),"?"))</f>
        <v/>
      </c>
      <c r="D66" s="14" t="n"/>
      <c r="E66" s="14" t="n"/>
      <c r="F66" s="21">
        <f>IF(AND(D66="",E66=""),"",D66*60+E66)</f>
        <v/>
      </c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</row>
    <row r="67">
      <c r="A67" s="14" t="n"/>
      <c r="B67" s="14" t="n"/>
      <c r="C67" s="21">
        <f>IF(B67="","",IFERROR(INDEX(Listas!$E$2:$E$10,MATCH(B67,Listas!$D$2:$D$10,0)),"?"))</f>
        <v/>
      </c>
      <c r="D67" s="14" t="n"/>
      <c r="E67" s="14" t="n"/>
      <c r="F67" s="21">
        <f>IF(AND(D67="",E67=""),"",D67*60+E67)</f>
        <v/>
      </c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</row>
    <row r="68">
      <c r="A68" s="14" t="n"/>
      <c r="B68" s="14" t="n"/>
      <c r="C68" s="21">
        <f>IF(B68="","",IFERROR(INDEX(Listas!$E$2:$E$10,MATCH(B68,Listas!$D$2:$D$10,0)),"?"))</f>
        <v/>
      </c>
      <c r="D68" s="14" t="n"/>
      <c r="E68" s="14" t="n"/>
      <c r="F68" s="21">
        <f>IF(AND(D68="",E68=""),"",D68*60+E68)</f>
        <v/>
      </c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</row>
    <row r="69">
      <c r="A69" s="14" t="n"/>
      <c r="B69" s="14" t="n"/>
      <c r="C69" s="21">
        <f>IF(B69="","",IFERROR(INDEX(Listas!$E$2:$E$10,MATCH(B69,Listas!$D$2:$D$10,0)),"?"))</f>
        <v/>
      </c>
      <c r="D69" s="14" t="n"/>
      <c r="E69" s="14" t="n"/>
      <c r="F69" s="21">
        <f>IF(AND(D69="",E69=""),"",D69*60+E69)</f>
        <v/>
      </c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</row>
    <row r="70">
      <c r="A70" s="14" t="n"/>
      <c r="B70" s="14" t="n"/>
      <c r="C70" s="21">
        <f>IF(B70="","",IFERROR(INDEX(Listas!$E$2:$E$10,MATCH(B70,Listas!$D$2:$D$10,0)),"?"))</f>
        <v/>
      </c>
      <c r="D70" s="14" t="n"/>
      <c r="E70" s="14" t="n"/>
      <c r="F70" s="21">
        <f>IF(AND(D70="",E70=""),"",D70*60+E70)</f>
        <v/>
      </c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</row>
    <row r="71">
      <c r="A71" s="14" t="n"/>
      <c r="B71" s="14" t="n"/>
      <c r="C71" s="21">
        <f>IF(B71="","",IFERROR(INDEX(Listas!$E$2:$E$10,MATCH(B71,Listas!$D$2:$D$10,0)),"?"))</f>
        <v/>
      </c>
      <c r="D71" s="14" t="n"/>
      <c r="E71" s="14" t="n"/>
      <c r="F71" s="21">
        <f>IF(AND(D71="",E71=""),"",D71*60+E71)</f>
        <v/>
      </c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</row>
    <row r="72">
      <c r="A72" s="14" t="n"/>
      <c r="B72" s="14" t="n"/>
      <c r="C72" s="21">
        <f>IF(B72="","",IFERROR(INDEX(Listas!$E$2:$E$10,MATCH(B72,Listas!$D$2:$D$10,0)),"?"))</f>
        <v/>
      </c>
      <c r="D72" s="14" t="n"/>
      <c r="E72" s="14" t="n"/>
      <c r="F72" s="21">
        <f>IF(AND(D72="",E72=""),"",D72*60+E72)</f>
        <v/>
      </c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</row>
    <row r="73">
      <c r="A73" s="14" t="n"/>
      <c r="B73" s="14" t="n"/>
      <c r="C73" s="21">
        <f>IF(B73="","",IFERROR(INDEX(Listas!$E$2:$E$10,MATCH(B73,Listas!$D$2:$D$10,0)),"?"))</f>
        <v/>
      </c>
      <c r="D73" s="14" t="n"/>
      <c r="E73" s="14" t="n"/>
      <c r="F73" s="21">
        <f>IF(AND(D73="",E73=""),"",D73*60+E73)</f>
        <v/>
      </c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</row>
    <row r="74">
      <c r="A74" s="14" t="n"/>
      <c r="B74" s="14" t="n"/>
      <c r="C74" s="21">
        <f>IF(B74="","",IFERROR(INDEX(Listas!$E$2:$E$10,MATCH(B74,Listas!$D$2:$D$10,0)),"?"))</f>
        <v/>
      </c>
      <c r="D74" s="14" t="n"/>
      <c r="E74" s="14" t="n"/>
      <c r="F74" s="21">
        <f>IF(AND(D74="",E74=""),"",D74*60+E74)</f>
        <v/>
      </c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</row>
    <row r="75">
      <c r="A75" s="14" t="n"/>
      <c r="B75" s="14" t="n"/>
      <c r="C75" s="21">
        <f>IF(B75="","",IFERROR(INDEX(Listas!$E$2:$E$10,MATCH(B75,Listas!$D$2:$D$10,0)),"?"))</f>
        <v/>
      </c>
      <c r="D75" s="14" t="n"/>
      <c r="E75" s="14" t="n"/>
      <c r="F75" s="21">
        <f>IF(AND(D75="",E75=""),"",D75*60+E75)</f>
        <v/>
      </c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</row>
    <row r="76">
      <c r="A76" s="14" t="n"/>
      <c r="B76" s="14" t="n"/>
      <c r="C76" s="21">
        <f>IF(B76="","",IFERROR(INDEX(Listas!$E$2:$E$10,MATCH(B76,Listas!$D$2:$D$10,0)),"?"))</f>
        <v/>
      </c>
      <c r="D76" s="14" t="n"/>
      <c r="E76" s="14" t="n"/>
      <c r="F76" s="21">
        <f>IF(AND(D76="",E76=""),"",D76*60+E76)</f>
        <v/>
      </c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</row>
    <row r="77">
      <c r="A77" s="14" t="n"/>
      <c r="B77" s="14" t="n"/>
      <c r="C77" s="21">
        <f>IF(B77="","",IFERROR(INDEX(Listas!$E$2:$E$10,MATCH(B77,Listas!$D$2:$D$10,0)),"?"))</f>
        <v/>
      </c>
      <c r="D77" s="14" t="n"/>
      <c r="E77" s="14" t="n"/>
      <c r="F77" s="21">
        <f>IF(AND(D77="",E77=""),"",D77*60+E77)</f>
        <v/>
      </c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</row>
    <row r="78">
      <c r="A78" s="14" t="n"/>
      <c r="B78" s="14" t="n"/>
      <c r="C78" s="21">
        <f>IF(B78="","",IFERROR(INDEX(Listas!$E$2:$E$10,MATCH(B78,Listas!$D$2:$D$10,0)),"?"))</f>
        <v/>
      </c>
      <c r="D78" s="14" t="n"/>
      <c r="E78" s="14" t="n"/>
      <c r="F78" s="21">
        <f>IF(AND(D78="",E78=""),"",D78*60+E78)</f>
        <v/>
      </c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</row>
    <row r="79">
      <c r="A79" s="14" t="n"/>
      <c r="B79" s="14" t="n"/>
      <c r="C79" s="21">
        <f>IF(B79="","",IFERROR(INDEX(Listas!$E$2:$E$10,MATCH(B79,Listas!$D$2:$D$10,0)),"?"))</f>
        <v/>
      </c>
      <c r="D79" s="14" t="n"/>
      <c r="E79" s="14" t="n"/>
      <c r="F79" s="21">
        <f>IF(AND(D79="",E79=""),"",D79*60+E79)</f>
        <v/>
      </c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</row>
    <row r="80">
      <c r="A80" s="14" t="n"/>
      <c r="B80" s="14" t="n"/>
      <c r="C80" s="21">
        <f>IF(B80="","",IFERROR(INDEX(Listas!$E$2:$E$10,MATCH(B80,Listas!$D$2:$D$10,0)),"?"))</f>
        <v/>
      </c>
      <c r="D80" s="14" t="n"/>
      <c r="E80" s="14" t="n"/>
      <c r="F80" s="21">
        <f>IF(AND(D80="",E80=""),"",D80*60+E80)</f>
        <v/>
      </c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</row>
    <row r="81">
      <c r="A81" s="14" t="n"/>
      <c r="B81" s="14" t="n"/>
      <c r="C81" s="21">
        <f>IF(B81="","",IFERROR(INDEX(Listas!$E$2:$E$10,MATCH(B81,Listas!$D$2:$D$10,0)),"?"))</f>
        <v/>
      </c>
      <c r="D81" s="14" t="n"/>
      <c r="E81" s="14" t="n"/>
      <c r="F81" s="21">
        <f>IF(AND(D81="",E81=""),"",D81*60+E81)</f>
        <v/>
      </c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</row>
    <row r="82">
      <c r="A82" s="14" t="n"/>
      <c r="B82" s="14" t="n"/>
      <c r="C82" s="21">
        <f>IF(B82="","",IFERROR(INDEX(Listas!$E$2:$E$10,MATCH(B82,Listas!$D$2:$D$10,0)),"?"))</f>
        <v/>
      </c>
      <c r="D82" s="14" t="n"/>
      <c r="E82" s="14" t="n"/>
      <c r="F82" s="21">
        <f>IF(AND(D82="",E82=""),"",D82*60+E82)</f>
        <v/>
      </c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</row>
    <row r="83">
      <c r="A83" s="14" t="n"/>
      <c r="B83" s="14" t="n"/>
      <c r="C83" s="21">
        <f>IF(B83="","",IFERROR(INDEX(Listas!$E$2:$E$10,MATCH(B83,Listas!$D$2:$D$10,0)),"?"))</f>
        <v/>
      </c>
      <c r="D83" s="14" t="n"/>
      <c r="E83" s="14" t="n"/>
      <c r="F83" s="21">
        <f>IF(AND(D83="",E83=""),"",D83*60+E83)</f>
        <v/>
      </c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</row>
    <row r="84">
      <c r="A84" s="14" t="n"/>
      <c r="B84" s="14" t="n"/>
      <c r="C84" s="21">
        <f>IF(B84="","",IFERROR(INDEX(Listas!$E$2:$E$10,MATCH(B84,Listas!$D$2:$D$10,0)),"?"))</f>
        <v/>
      </c>
      <c r="D84" s="14" t="n"/>
      <c r="E84" s="14" t="n"/>
      <c r="F84" s="21">
        <f>IF(AND(D84="",E84=""),"",D84*60+E84)</f>
        <v/>
      </c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</row>
    <row r="85">
      <c r="A85" s="14" t="n"/>
      <c r="B85" s="14" t="n"/>
      <c r="C85" s="21">
        <f>IF(B85="","",IFERROR(INDEX(Listas!$E$2:$E$10,MATCH(B85,Listas!$D$2:$D$10,0)),"?"))</f>
        <v/>
      </c>
      <c r="D85" s="14" t="n"/>
      <c r="E85" s="14" t="n"/>
      <c r="F85" s="21">
        <f>IF(AND(D85="",E85=""),"",D85*60+E85)</f>
        <v/>
      </c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</row>
    <row r="86">
      <c r="A86" s="14" t="n"/>
      <c r="B86" s="14" t="n"/>
      <c r="C86" s="21">
        <f>IF(B86="","",IFERROR(INDEX(Listas!$E$2:$E$10,MATCH(B86,Listas!$D$2:$D$10,0)),"?"))</f>
        <v/>
      </c>
      <c r="D86" s="14" t="n"/>
      <c r="E86" s="14" t="n"/>
      <c r="F86" s="21">
        <f>IF(AND(D86="",E86=""),"",D86*60+E86)</f>
        <v/>
      </c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</row>
    <row r="87">
      <c r="A87" s="14" t="n"/>
      <c r="B87" s="14" t="n"/>
      <c r="C87" s="21">
        <f>IF(B87="","",IFERROR(INDEX(Listas!$E$2:$E$10,MATCH(B87,Listas!$D$2:$D$10,0)),"?"))</f>
        <v/>
      </c>
      <c r="D87" s="14" t="n"/>
      <c r="E87" s="14" t="n"/>
      <c r="F87" s="21">
        <f>IF(AND(D87="",E87=""),"",D87*60+E87)</f>
        <v/>
      </c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</row>
    <row r="88">
      <c r="A88" s="14" t="n"/>
      <c r="B88" s="14" t="n"/>
      <c r="C88" s="21">
        <f>IF(B88="","",IFERROR(INDEX(Listas!$E$2:$E$10,MATCH(B88,Listas!$D$2:$D$10,0)),"?"))</f>
        <v/>
      </c>
      <c r="D88" s="14" t="n"/>
      <c r="E88" s="14" t="n"/>
      <c r="F88" s="21">
        <f>IF(AND(D88="",E88=""),"",D88*60+E88)</f>
        <v/>
      </c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</row>
    <row r="89">
      <c r="A89" s="14" t="n"/>
      <c r="B89" s="14" t="n"/>
      <c r="C89" s="21">
        <f>IF(B89="","",IFERROR(INDEX(Listas!$E$2:$E$10,MATCH(B89,Listas!$D$2:$D$10,0)),"?"))</f>
        <v/>
      </c>
      <c r="D89" s="14" t="n"/>
      <c r="E89" s="14" t="n"/>
      <c r="F89" s="21">
        <f>IF(AND(D89="",E89=""),"",D89*60+E89)</f>
        <v/>
      </c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</row>
    <row r="90">
      <c r="A90" s="14" t="n"/>
      <c r="B90" s="14" t="n"/>
      <c r="C90" s="21">
        <f>IF(B90="","",IFERROR(INDEX(Listas!$E$2:$E$10,MATCH(B90,Listas!$D$2:$D$10,0)),"?"))</f>
        <v/>
      </c>
      <c r="D90" s="14" t="n"/>
      <c r="E90" s="14" t="n"/>
      <c r="F90" s="21">
        <f>IF(AND(D90="",E90=""),"",D90*60+E90)</f>
        <v/>
      </c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</row>
    <row r="91">
      <c r="A91" s="14" t="n"/>
      <c r="B91" s="14" t="n"/>
      <c r="C91" s="21">
        <f>IF(B91="","",IFERROR(INDEX(Listas!$E$2:$E$10,MATCH(B91,Listas!$D$2:$D$10,0)),"?"))</f>
        <v/>
      </c>
      <c r="D91" s="14" t="n"/>
      <c r="E91" s="14" t="n"/>
      <c r="F91" s="21">
        <f>IF(AND(D91="",E91=""),"",D91*60+E91)</f>
        <v/>
      </c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</row>
    <row r="92">
      <c r="A92" s="14" t="n"/>
      <c r="B92" s="14" t="n"/>
      <c r="C92" s="21">
        <f>IF(B92="","",IFERROR(INDEX(Listas!$E$2:$E$10,MATCH(B92,Listas!$D$2:$D$10,0)),"?"))</f>
        <v/>
      </c>
      <c r="D92" s="14" t="n"/>
      <c r="E92" s="14" t="n"/>
      <c r="F92" s="21">
        <f>IF(AND(D92="",E92=""),"",D92*60+E92)</f>
        <v/>
      </c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</row>
    <row r="93">
      <c r="A93" s="14" t="n"/>
      <c r="B93" s="14" t="n"/>
      <c r="C93" s="21">
        <f>IF(B93="","",IFERROR(INDEX(Listas!$E$2:$E$10,MATCH(B93,Listas!$D$2:$D$10,0)),"?"))</f>
        <v/>
      </c>
      <c r="D93" s="14" t="n"/>
      <c r="E93" s="14" t="n"/>
      <c r="F93" s="21">
        <f>IF(AND(D93="",E93=""),"",D93*60+E93)</f>
        <v/>
      </c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</row>
    <row r="94">
      <c r="A94" s="14" t="n"/>
      <c r="B94" s="14" t="n"/>
      <c r="C94" s="21">
        <f>IF(B94="","",IFERROR(INDEX(Listas!$E$2:$E$10,MATCH(B94,Listas!$D$2:$D$10,0)),"?"))</f>
        <v/>
      </c>
      <c r="D94" s="14" t="n"/>
      <c r="E94" s="14" t="n"/>
      <c r="F94" s="21">
        <f>IF(AND(D94="",E94=""),"",D94*60+E94)</f>
        <v/>
      </c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</row>
    <row r="95">
      <c r="A95" s="14" t="n"/>
      <c r="B95" s="14" t="n"/>
      <c r="C95" s="21">
        <f>IF(B95="","",IFERROR(INDEX(Listas!$E$2:$E$10,MATCH(B95,Listas!$D$2:$D$10,0)),"?"))</f>
        <v/>
      </c>
      <c r="D95" s="14" t="n"/>
      <c r="E95" s="14" t="n"/>
      <c r="F95" s="21">
        <f>IF(AND(D95="",E95=""),"",D95*60+E95)</f>
        <v/>
      </c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</row>
    <row r="96">
      <c r="A96" s="14" t="n"/>
      <c r="B96" s="14" t="n"/>
      <c r="C96" s="21">
        <f>IF(B96="","",IFERROR(INDEX(Listas!$E$2:$E$10,MATCH(B96,Listas!$D$2:$D$10,0)),"?"))</f>
        <v/>
      </c>
      <c r="D96" s="14" t="n"/>
      <c r="E96" s="14" t="n"/>
      <c r="F96" s="21">
        <f>IF(AND(D96="",E96=""),"",D96*60+E96)</f>
        <v/>
      </c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</row>
    <row r="97">
      <c r="A97" s="14" t="n"/>
      <c r="B97" s="14" t="n"/>
      <c r="C97" s="21">
        <f>IF(B97="","",IFERROR(INDEX(Listas!$E$2:$E$10,MATCH(B97,Listas!$D$2:$D$10,0)),"?"))</f>
        <v/>
      </c>
      <c r="D97" s="14" t="n"/>
      <c r="E97" s="14" t="n"/>
      <c r="F97" s="21">
        <f>IF(AND(D97="",E97=""),"",D97*60+E97)</f>
        <v/>
      </c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</row>
    <row r="98">
      <c r="A98" s="14" t="n"/>
      <c r="B98" s="14" t="n"/>
      <c r="C98" s="21">
        <f>IF(B98="","",IFERROR(INDEX(Listas!$E$2:$E$10,MATCH(B98,Listas!$D$2:$D$10,0)),"?"))</f>
        <v/>
      </c>
      <c r="D98" s="14" t="n"/>
      <c r="E98" s="14" t="n"/>
      <c r="F98" s="21">
        <f>IF(AND(D98="",E98=""),"",D98*60+E98)</f>
        <v/>
      </c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</row>
    <row r="99">
      <c r="A99" s="14" t="n"/>
      <c r="B99" s="14" t="n"/>
      <c r="C99" s="21">
        <f>IF(B99="","",IFERROR(INDEX(Listas!$E$2:$E$10,MATCH(B99,Listas!$D$2:$D$10,0)),"?"))</f>
        <v/>
      </c>
      <c r="D99" s="14" t="n"/>
      <c r="E99" s="14" t="n"/>
      <c r="F99" s="21">
        <f>IF(AND(D99="",E99=""),"",D99*60+E99)</f>
        <v/>
      </c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</row>
    <row r="100">
      <c r="A100" s="14" t="n"/>
      <c r="B100" s="14" t="n"/>
      <c r="C100" s="21">
        <f>IF(B100="","",IFERROR(INDEX(Listas!$E$2:$E$10,MATCH(B100,Listas!$D$2:$D$10,0)),"?"))</f>
        <v/>
      </c>
      <c r="D100" s="14" t="n"/>
      <c r="E100" s="14" t="n"/>
      <c r="F100" s="21">
        <f>IF(AND(D100="",E100=""),"",D100*60+E100)</f>
        <v/>
      </c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</row>
    <row r="101">
      <c r="A101" s="14" t="n"/>
      <c r="B101" s="14" t="n"/>
      <c r="C101" s="21">
        <f>IF(B101="","",IFERROR(INDEX(Listas!$E$2:$E$10,MATCH(B101,Listas!$D$2:$D$10,0)),"?"))</f>
        <v/>
      </c>
      <c r="D101" s="14" t="n"/>
      <c r="E101" s="14" t="n"/>
      <c r="F101" s="21">
        <f>IF(AND(D101="",E101=""),"",D101*60+E101)</f>
        <v/>
      </c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</row>
    <row r="102">
      <c r="A102" s="14" t="n"/>
      <c r="B102" s="14" t="n"/>
      <c r="C102" s="21">
        <f>IF(B102="","",IFERROR(INDEX(Listas!$E$2:$E$10,MATCH(B102,Listas!$D$2:$D$10,0)),"?"))</f>
        <v/>
      </c>
      <c r="D102" s="14" t="n"/>
      <c r="E102" s="14" t="n"/>
      <c r="F102" s="21">
        <f>IF(AND(D102="",E102=""),"",D102*60+E102)</f>
        <v/>
      </c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</row>
    <row r="103">
      <c r="A103" s="14" t="n"/>
      <c r="B103" s="14" t="n"/>
      <c r="C103" s="21">
        <f>IF(B103="","",IFERROR(INDEX(Listas!$E$2:$E$10,MATCH(B103,Listas!$D$2:$D$10,0)),"?"))</f>
        <v/>
      </c>
      <c r="D103" s="14" t="n"/>
      <c r="E103" s="14" t="n"/>
      <c r="F103" s="21">
        <f>IF(AND(D103="",E103=""),"",D103*60+E103)</f>
        <v/>
      </c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</row>
    <row r="104">
      <c r="A104" s="14" t="n"/>
      <c r="B104" s="14" t="n"/>
      <c r="C104" s="21">
        <f>IF(B104="","",IFERROR(INDEX(Listas!$E$2:$E$10,MATCH(B104,Listas!$D$2:$D$10,0)),"?"))</f>
        <v/>
      </c>
      <c r="D104" s="14" t="n"/>
      <c r="E104" s="14" t="n"/>
      <c r="F104" s="21">
        <f>IF(AND(D104="",E104=""),"",D104*60+E104)</f>
        <v/>
      </c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</row>
    <row r="105">
      <c r="A105" s="14" t="n"/>
      <c r="B105" s="14" t="n"/>
      <c r="C105" s="21">
        <f>IF(B105="","",IFERROR(INDEX(Listas!$E$2:$E$10,MATCH(B105,Listas!$D$2:$D$10,0)),"?"))</f>
        <v/>
      </c>
      <c r="D105" s="14" t="n"/>
      <c r="E105" s="14" t="n"/>
      <c r="F105" s="21">
        <f>IF(AND(D105="",E105=""),"",D105*60+E105)</f>
        <v/>
      </c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</row>
    <row r="106">
      <c r="A106" s="14" t="n"/>
      <c r="B106" s="14" t="n"/>
      <c r="C106" s="21">
        <f>IF(B106="","",IFERROR(INDEX(Listas!$E$2:$E$10,MATCH(B106,Listas!$D$2:$D$10,0)),"?"))</f>
        <v/>
      </c>
      <c r="D106" s="14" t="n"/>
      <c r="E106" s="14" t="n"/>
      <c r="F106" s="21">
        <f>IF(AND(D106="",E106=""),"",D106*60+E106)</f>
        <v/>
      </c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</row>
    <row r="107">
      <c r="A107" s="14" t="n"/>
      <c r="B107" s="14" t="n"/>
      <c r="C107" s="21">
        <f>IF(B107="","",IFERROR(INDEX(Listas!$E$2:$E$10,MATCH(B107,Listas!$D$2:$D$10,0)),"?"))</f>
        <v/>
      </c>
      <c r="D107" s="14" t="n"/>
      <c r="E107" s="14" t="n"/>
      <c r="F107" s="21">
        <f>IF(AND(D107="",E107=""),"",D107*60+E107)</f>
        <v/>
      </c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</row>
    <row r="108">
      <c r="A108" s="14" t="n"/>
      <c r="B108" s="14" t="n"/>
      <c r="C108" s="21">
        <f>IF(B108="","",IFERROR(INDEX(Listas!$E$2:$E$10,MATCH(B108,Listas!$D$2:$D$10,0)),"?"))</f>
        <v/>
      </c>
      <c r="D108" s="14" t="n"/>
      <c r="E108" s="14" t="n"/>
      <c r="F108" s="21">
        <f>IF(AND(D108="",E108=""),"",D108*60+E108)</f>
        <v/>
      </c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</row>
    <row r="109">
      <c r="A109" s="14" t="n"/>
      <c r="B109" s="14" t="n"/>
      <c r="C109" s="21">
        <f>IF(B109="","",IFERROR(INDEX(Listas!$E$2:$E$10,MATCH(B109,Listas!$D$2:$D$10,0)),"?"))</f>
        <v/>
      </c>
      <c r="D109" s="14" t="n"/>
      <c r="E109" s="14" t="n"/>
      <c r="F109" s="21">
        <f>IF(AND(D109="",E109=""),"",D109*60+E109)</f>
        <v/>
      </c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</row>
    <row r="110">
      <c r="A110" s="14" t="n"/>
      <c r="B110" s="14" t="n"/>
      <c r="C110" s="21">
        <f>IF(B110="","",IFERROR(INDEX(Listas!$E$2:$E$10,MATCH(B110,Listas!$D$2:$D$10,0)),"?"))</f>
        <v/>
      </c>
      <c r="D110" s="14" t="n"/>
      <c r="E110" s="14" t="n"/>
      <c r="F110" s="21">
        <f>IF(AND(D110="",E110=""),"",D110*60+E110)</f>
        <v/>
      </c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</row>
    <row r="111">
      <c r="A111" s="14" t="n"/>
      <c r="B111" s="14" t="n"/>
      <c r="C111" s="21">
        <f>IF(B111="","",IFERROR(INDEX(Listas!$E$2:$E$10,MATCH(B111,Listas!$D$2:$D$10,0)),"?"))</f>
        <v/>
      </c>
      <c r="D111" s="14" t="n"/>
      <c r="E111" s="14" t="n"/>
      <c r="F111" s="21">
        <f>IF(AND(D111="",E111=""),"",D111*60+E111)</f>
        <v/>
      </c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</row>
    <row r="112">
      <c r="A112" s="14" t="n"/>
      <c r="B112" s="14" t="n"/>
      <c r="C112" s="21">
        <f>IF(B112="","",IFERROR(INDEX(Listas!$E$2:$E$10,MATCH(B112,Listas!$D$2:$D$10,0)),"?"))</f>
        <v/>
      </c>
      <c r="D112" s="14" t="n"/>
      <c r="E112" s="14" t="n"/>
      <c r="F112" s="21">
        <f>IF(AND(D112="",E112=""),"",D112*60+E112)</f>
        <v/>
      </c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</row>
    <row r="113">
      <c r="A113" s="14" t="n"/>
      <c r="B113" s="14" t="n"/>
      <c r="C113" s="21">
        <f>IF(B113="","",IFERROR(INDEX(Listas!$E$2:$E$10,MATCH(B113,Listas!$D$2:$D$10,0)),"?"))</f>
        <v/>
      </c>
      <c r="D113" s="14" t="n"/>
      <c r="E113" s="14" t="n"/>
      <c r="F113" s="21">
        <f>IF(AND(D113="",E113=""),"",D113*60+E113)</f>
        <v/>
      </c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</row>
    <row r="114">
      <c r="A114" s="14" t="n"/>
      <c r="B114" s="14" t="n"/>
      <c r="C114" s="21">
        <f>IF(B114="","",IFERROR(INDEX(Listas!$E$2:$E$10,MATCH(B114,Listas!$D$2:$D$10,0)),"?"))</f>
        <v/>
      </c>
      <c r="D114" s="14" t="n"/>
      <c r="E114" s="14" t="n"/>
      <c r="F114" s="21">
        <f>IF(AND(D114="",E114=""),"",D114*60+E114)</f>
        <v/>
      </c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</row>
    <row r="115">
      <c r="A115" s="14" t="n"/>
      <c r="B115" s="14" t="n"/>
      <c r="C115" s="21">
        <f>IF(B115="","",IFERROR(INDEX(Listas!$E$2:$E$10,MATCH(B115,Listas!$D$2:$D$10,0)),"?"))</f>
        <v/>
      </c>
      <c r="D115" s="14" t="n"/>
      <c r="E115" s="14" t="n"/>
      <c r="F115" s="21">
        <f>IF(AND(D115="",E115=""),"",D115*60+E115)</f>
        <v/>
      </c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</row>
    <row r="116">
      <c r="A116" s="14" t="n"/>
      <c r="B116" s="14" t="n"/>
      <c r="C116" s="21">
        <f>IF(B116="","",IFERROR(INDEX(Listas!$E$2:$E$10,MATCH(B116,Listas!$D$2:$D$10,0)),"?"))</f>
        <v/>
      </c>
      <c r="D116" s="14" t="n"/>
      <c r="E116" s="14" t="n"/>
      <c r="F116" s="21">
        <f>IF(AND(D116="",E116=""),"",D116*60+E116)</f>
        <v/>
      </c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</row>
    <row r="117">
      <c r="A117" s="14" t="n"/>
      <c r="B117" s="14" t="n"/>
      <c r="C117" s="21">
        <f>IF(B117="","",IFERROR(INDEX(Listas!$E$2:$E$10,MATCH(B117,Listas!$D$2:$D$10,0)),"?"))</f>
        <v/>
      </c>
      <c r="D117" s="14" t="n"/>
      <c r="E117" s="14" t="n"/>
      <c r="F117" s="21">
        <f>IF(AND(D117="",E117=""),"",D117*60+E117)</f>
        <v/>
      </c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</row>
    <row r="118">
      <c r="A118" s="14" t="n"/>
      <c r="B118" s="14" t="n"/>
      <c r="C118" s="21">
        <f>IF(B118="","",IFERROR(INDEX(Listas!$E$2:$E$10,MATCH(B118,Listas!$D$2:$D$10,0)),"?"))</f>
        <v/>
      </c>
      <c r="D118" s="14" t="n"/>
      <c r="E118" s="14" t="n"/>
      <c r="F118" s="21">
        <f>IF(AND(D118="",E118=""),"",D118*60+E118)</f>
        <v/>
      </c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</row>
    <row r="119">
      <c r="A119" s="14" t="n"/>
      <c r="B119" s="14" t="n"/>
      <c r="C119" s="21">
        <f>IF(B119="","",IFERROR(INDEX(Listas!$E$2:$E$10,MATCH(B119,Listas!$D$2:$D$10,0)),"?"))</f>
        <v/>
      </c>
      <c r="D119" s="14" t="n"/>
      <c r="E119" s="14" t="n"/>
      <c r="F119" s="21">
        <f>IF(AND(D119="",E119=""),"",D119*60+E119)</f>
        <v/>
      </c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</row>
    <row r="120">
      <c r="A120" s="14" t="n"/>
      <c r="B120" s="14" t="n"/>
      <c r="C120" s="21">
        <f>IF(B120="","",IFERROR(INDEX(Listas!$E$2:$E$10,MATCH(B120,Listas!$D$2:$D$10,0)),"?"))</f>
        <v/>
      </c>
      <c r="D120" s="14" t="n"/>
      <c r="E120" s="14" t="n"/>
      <c r="F120" s="21">
        <f>IF(AND(D120="",E120=""),"",D120*60+E120)</f>
        <v/>
      </c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</row>
    <row r="121">
      <c r="A121" s="14" t="n"/>
      <c r="B121" s="14" t="n"/>
      <c r="C121" s="21">
        <f>IF(B121="","",IFERROR(INDEX(Listas!$E$2:$E$10,MATCH(B121,Listas!$D$2:$D$10,0)),"?"))</f>
        <v/>
      </c>
      <c r="D121" s="14" t="n"/>
      <c r="E121" s="14" t="n"/>
      <c r="F121" s="21">
        <f>IF(AND(D121="",E121=""),"",D121*60+E121)</f>
        <v/>
      </c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</row>
    <row r="122">
      <c r="A122" s="14" t="n"/>
      <c r="B122" s="14" t="n"/>
      <c r="C122" s="21">
        <f>IF(B122="","",IFERROR(INDEX(Listas!$E$2:$E$10,MATCH(B122,Listas!$D$2:$D$10,0)),"?"))</f>
        <v/>
      </c>
      <c r="D122" s="14" t="n"/>
      <c r="E122" s="14" t="n"/>
      <c r="F122" s="21">
        <f>IF(AND(D122="",E122=""),"",D122*60+E122)</f>
        <v/>
      </c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</row>
    <row r="123">
      <c r="A123" s="14" t="n"/>
      <c r="B123" s="14" t="n"/>
      <c r="C123" s="21">
        <f>IF(B123="","",IFERROR(INDEX(Listas!$E$2:$E$10,MATCH(B123,Listas!$D$2:$D$10,0)),"?"))</f>
        <v/>
      </c>
      <c r="D123" s="14" t="n"/>
      <c r="E123" s="14" t="n"/>
      <c r="F123" s="21">
        <f>IF(AND(D123="",E123=""),"",D123*60+E123)</f>
        <v/>
      </c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</row>
    <row r="124">
      <c r="A124" s="14" t="n"/>
      <c r="B124" s="14" t="n"/>
      <c r="C124" s="21">
        <f>IF(B124="","",IFERROR(INDEX(Listas!$E$2:$E$10,MATCH(B124,Listas!$D$2:$D$10,0)),"?"))</f>
        <v/>
      </c>
      <c r="D124" s="14" t="n"/>
      <c r="E124" s="14" t="n"/>
      <c r="F124" s="21">
        <f>IF(AND(D124="",E124=""),"",D124*60+E124)</f>
        <v/>
      </c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</row>
    <row r="125">
      <c r="A125" s="14" t="n"/>
      <c r="B125" s="14" t="n"/>
      <c r="C125" s="21">
        <f>IF(B125="","",IFERROR(INDEX(Listas!$E$2:$E$10,MATCH(B125,Listas!$D$2:$D$10,0)),"?"))</f>
        <v/>
      </c>
      <c r="D125" s="14" t="n"/>
      <c r="E125" s="14" t="n"/>
      <c r="F125" s="21">
        <f>IF(AND(D125="",E125=""),"",D125*60+E125)</f>
        <v/>
      </c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</row>
    <row r="126">
      <c r="A126" s="14" t="n"/>
      <c r="B126" s="14" t="n"/>
      <c r="C126" s="21">
        <f>IF(B126="","",IFERROR(INDEX(Listas!$E$2:$E$10,MATCH(B126,Listas!$D$2:$D$10,0)),"?"))</f>
        <v/>
      </c>
      <c r="D126" s="14" t="n"/>
      <c r="E126" s="14" t="n"/>
      <c r="F126" s="21">
        <f>IF(AND(D126="",E126=""),"",D126*60+E126)</f>
        <v/>
      </c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</row>
    <row r="127">
      <c r="A127" s="14" t="n"/>
      <c r="B127" s="14" t="n"/>
      <c r="C127" s="21">
        <f>IF(B127="","",IFERROR(INDEX(Listas!$E$2:$E$10,MATCH(B127,Listas!$D$2:$D$10,0)),"?"))</f>
        <v/>
      </c>
      <c r="D127" s="14" t="n"/>
      <c r="E127" s="14" t="n"/>
      <c r="F127" s="21">
        <f>IF(AND(D127="",E127=""),"",D127*60+E127)</f>
        <v/>
      </c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</row>
    <row r="128">
      <c r="A128" s="14" t="n"/>
      <c r="B128" s="14" t="n"/>
      <c r="C128" s="21">
        <f>IF(B128="","",IFERROR(INDEX(Listas!$E$2:$E$10,MATCH(B128,Listas!$D$2:$D$10,0)),"?"))</f>
        <v/>
      </c>
      <c r="D128" s="14" t="n"/>
      <c r="E128" s="14" t="n"/>
      <c r="F128" s="21">
        <f>IF(AND(D128="",E128=""),"",D128*60+E128)</f>
        <v/>
      </c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</row>
    <row r="129">
      <c r="A129" s="14" t="n"/>
      <c r="B129" s="14" t="n"/>
      <c r="C129" s="21">
        <f>IF(B129="","",IFERROR(INDEX(Listas!$E$2:$E$10,MATCH(B129,Listas!$D$2:$D$10,0)),"?"))</f>
        <v/>
      </c>
      <c r="D129" s="14" t="n"/>
      <c r="E129" s="14" t="n"/>
      <c r="F129" s="21">
        <f>IF(AND(D129="",E129=""),"",D129*60+E129)</f>
        <v/>
      </c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</row>
    <row r="130">
      <c r="A130" s="14" t="n"/>
      <c r="B130" s="14" t="n"/>
      <c r="C130" s="21">
        <f>IF(B130="","",IFERROR(INDEX(Listas!$E$2:$E$10,MATCH(B130,Listas!$D$2:$D$10,0)),"?"))</f>
        <v/>
      </c>
      <c r="D130" s="14" t="n"/>
      <c r="E130" s="14" t="n"/>
      <c r="F130" s="21">
        <f>IF(AND(D130="",E130=""),"",D130*60+E130)</f>
        <v/>
      </c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</row>
    <row r="131">
      <c r="A131" s="14" t="n"/>
      <c r="B131" s="14" t="n"/>
      <c r="C131" s="21">
        <f>IF(B131="","",IFERROR(INDEX(Listas!$E$2:$E$10,MATCH(B131,Listas!$D$2:$D$10,0)),"?"))</f>
        <v/>
      </c>
      <c r="D131" s="14" t="n"/>
      <c r="E131" s="14" t="n"/>
      <c r="F131" s="21">
        <f>IF(AND(D131="",E131=""),"",D131*60+E131)</f>
        <v/>
      </c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</row>
    <row r="132">
      <c r="A132" s="14" t="n"/>
      <c r="B132" s="14" t="n"/>
      <c r="C132" s="21">
        <f>IF(B132="","",IFERROR(INDEX(Listas!$E$2:$E$10,MATCH(B132,Listas!$D$2:$D$10,0)),"?"))</f>
        <v/>
      </c>
      <c r="D132" s="14" t="n"/>
      <c r="E132" s="14" t="n"/>
      <c r="F132" s="21">
        <f>IF(AND(D132="",E132=""),"",D132*60+E132)</f>
        <v/>
      </c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</row>
    <row r="133">
      <c r="A133" s="14" t="n"/>
      <c r="B133" s="14" t="n"/>
      <c r="C133" s="21">
        <f>IF(B133="","",IFERROR(INDEX(Listas!$E$2:$E$10,MATCH(B133,Listas!$D$2:$D$10,0)),"?"))</f>
        <v/>
      </c>
      <c r="D133" s="14" t="n"/>
      <c r="E133" s="14" t="n"/>
      <c r="F133" s="21">
        <f>IF(AND(D133="",E133=""),"",D133*60+E133)</f>
        <v/>
      </c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</row>
    <row r="134">
      <c r="A134" s="14" t="n"/>
      <c r="B134" s="14" t="n"/>
      <c r="C134" s="21">
        <f>IF(B134="","",IFERROR(INDEX(Listas!$E$2:$E$10,MATCH(B134,Listas!$D$2:$D$10,0)),"?"))</f>
        <v/>
      </c>
      <c r="D134" s="14" t="n"/>
      <c r="E134" s="14" t="n"/>
      <c r="F134" s="21">
        <f>IF(AND(D134="",E134=""),"",D134*60+E134)</f>
        <v/>
      </c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</row>
    <row r="135">
      <c r="A135" s="14" t="n"/>
      <c r="B135" s="14" t="n"/>
      <c r="C135" s="21">
        <f>IF(B135="","",IFERROR(INDEX(Listas!$E$2:$E$10,MATCH(B135,Listas!$D$2:$D$10,0)),"?"))</f>
        <v/>
      </c>
      <c r="D135" s="14" t="n"/>
      <c r="E135" s="14" t="n"/>
      <c r="F135" s="21">
        <f>IF(AND(D135="",E135=""),"",D135*60+E135)</f>
        <v/>
      </c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</row>
    <row r="136">
      <c r="A136" s="14" t="n"/>
      <c r="B136" s="14" t="n"/>
      <c r="C136" s="21">
        <f>IF(B136="","",IFERROR(INDEX(Listas!$E$2:$E$10,MATCH(B136,Listas!$D$2:$D$10,0)),"?"))</f>
        <v/>
      </c>
      <c r="D136" s="14" t="n"/>
      <c r="E136" s="14" t="n"/>
      <c r="F136" s="21">
        <f>IF(AND(D136="",E136=""),"",D136*60+E136)</f>
        <v/>
      </c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</row>
    <row r="137">
      <c r="A137" s="14" t="n"/>
      <c r="B137" s="14" t="n"/>
      <c r="C137" s="21">
        <f>IF(B137="","",IFERROR(INDEX(Listas!$E$2:$E$10,MATCH(B137,Listas!$D$2:$D$10,0)),"?"))</f>
        <v/>
      </c>
      <c r="D137" s="14" t="n"/>
      <c r="E137" s="14" t="n"/>
      <c r="F137" s="21">
        <f>IF(AND(D137="",E137=""),"",D137*60+E137)</f>
        <v/>
      </c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</row>
    <row r="138">
      <c r="A138" s="14" t="n"/>
      <c r="B138" s="14" t="n"/>
      <c r="C138" s="21">
        <f>IF(B138="","",IFERROR(INDEX(Listas!$E$2:$E$10,MATCH(B138,Listas!$D$2:$D$10,0)),"?"))</f>
        <v/>
      </c>
      <c r="D138" s="14" t="n"/>
      <c r="E138" s="14" t="n"/>
      <c r="F138" s="21">
        <f>IF(AND(D138="",E138=""),"",D138*60+E138)</f>
        <v/>
      </c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</row>
    <row r="139">
      <c r="A139" s="14" t="n"/>
      <c r="B139" s="14" t="n"/>
      <c r="C139" s="21">
        <f>IF(B139="","",IFERROR(INDEX(Listas!$E$2:$E$10,MATCH(B139,Listas!$D$2:$D$10,0)),"?"))</f>
        <v/>
      </c>
      <c r="D139" s="14" t="n"/>
      <c r="E139" s="14" t="n"/>
      <c r="F139" s="21">
        <f>IF(AND(D139="",E139=""),"",D139*60+E139)</f>
        <v/>
      </c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</row>
    <row r="140">
      <c r="A140" s="14" t="n"/>
      <c r="B140" s="14" t="n"/>
      <c r="C140" s="21">
        <f>IF(B140="","",IFERROR(INDEX(Listas!$E$2:$E$10,MATCH(B140,Listas!$D$2:$D$10,0)),"?"))</f>
        <v/>
      </c>
      <c r="D140" s="14" t="n"/>
      <c r="E140" s="14" t="n"/>
      <c r="F140" s="21">
        <f>IF(AND(D140="",E140=""),"",D140*60+E140)</f>
        <v/>
      </c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</row>
    <row r="141">
      <c r="A141" s="14" t="n"/>
      <c r="B141" s="14" t="n"/>
      <c r="C141" s="21">
        <f>IF(B141="","",IFERROR(INDEX(Listas!$E$2:$E$10,MATCH(B141,Listas!$D$2:$D$10,0)),"?"))</f>
        <v/>
      </c>
      <c r="D141" s="14" t="n"/>
      <c r="E141" s="14" t="n"/>
      <c r="F141" s="21">
        <f>IF(AND(D141="",E141=""),"",D141*60+E141)</f>
        <v/>
      </c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</row>
    <row r="142">
      <c r="A142" s="14" t="n"/>
      <c r="B142" s="14" t="n"/>
      <c r="C142" s="21">
        <f>IF(B142="","",IFERROR(INDEX(Listas!$E$2:$E$10,MATCH(B142,Listas!$D$2:$D$10,0)),"?"))</f>
        <v/>
      </c>
      <c r="D142" s="14" t="n"/>
      <c r="E142" s="14" t="n"/>
      <c r="F142" s="21">
        <f>IF(AND(D142="",E142=""),"",D142*60+E142)</f>
        <v/>
      </c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</row>
    <row r="143">
      <c r="A143" s="14" t="n"/>
      <c r="B143" s="14" t="n"/>
      <c r="C143" s="21">
        <f>IF(B143="","",IFERROR(INDEX(Listas!$E$2:$E$10,MATCH(B143,Listas!$D$2:$D$10,0)),"?"))</f>
        <v/>
      </c>
      <c r="D143" s="14" t="n"/>
      <c r="E143" s="14" t="n"/>
      <c r="F143" s="21">
        <f>IF(AND(D143="",E143=""),"",D143*60+E143)</f>
        <v/>
      </c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</row>
    <row r="144">
      <c r="A144" s="14" t="n"/>
      <c r="B144" s="14" t="n"/>
      <c r="C144" s="21">
        <f>IF(B144="","",IFERROR(INDEX(Listas!$E$2:$E$10,MATCH(B144,Listas!$D$2:$D$10,0)),"?"))</f>
        <v/>
      </c>
      <c r="D144" s="14" t="n"/>
      <c r="E144" s="14" t="n"/>
      <c r="F144" s="21">
        <f>IF(AND(D144="",E144=""),"",D144*60+E144)</f>
        <v/>
      </c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</row>
    <row r="145">
      <c r="A145" s="14" t="n"/>
      <c r="B145" s="14" t="n"/>
      <c r="C145" s="21">
        <f>IF(B145="","",IFERROR(INDEX(Listas!$E$2:$E$10,MATCH(B145,Listas!$D$2:$D$10,0)),"?"))</f>
        <v/>
      </c>
      <c r="D145" s="14" t="n"/>
      <c r="E145" s="14" t="n"/>
      <c r="F145" s="21">
        <f>IF(AND(D145="",E145=""),"",D145*60+E145)</f>
        <v/>
      </c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</row>
    <row r="146">
      <c r="A146" s="14" t="n"/>
      <c r="B146" s="14" t="n"/>
      <c r="C146" s="21">
        <f>IF(B146="","",IFERROR(INDEX(Listas!$E$2:$E$10,MATCH(B146,Listas!$D$2:$D$10,0)),"?"))</f>
        <v/>
      </c>
      <c r="D146" s="14" t="n"/>
      <c r="E146" s="14" t="n"/>
      <c r="F146" s="21">
        <f>IF(AND(D146="",E146=""),"",D146*60+E146)</f>
        <v/>
      </c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</row>
    <row r="147">
      <c r="A147" s="14" t="n"/>
      <c r="B147" s="14" t="n"/>
      <c r="C147" s="21">
        <f>IF(B147="","",IFERROR(INDEX(Listas!$E$2:$E$10,MATCH(B147,Listas!$D$2:$D$10,0)),"?"))</f>
        <v/>
      </c>
      <c r="D147" s="14" t="n"/>
      <c r="E147" s="14" t="n"/>
      <c r="F147" s="21">
        <f>IF(AND(D147="",E147=""),"",D147*60+E147)</f>
        <v/>
      </c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</row>
    <row r="148">
      <c r="A148" s="14" t="n"/>
      <c r="B148" s="14" t="n"/>
      <c r="C148" s="21">
        <f>IF(B148="","",IFERROR(INDEX(Listas!$E$2:$E$10,MATCH(B148,Listas!$D$2:$D$10,0)),"?"))</f>
        <v/>
      </c>
      <c r="D148" s="14" t="n"/>
      <c r="E148" s="14" t="n"/>
      <c r="F148" s="21">
        <f>IF(AND(D148="",E148=""),"",D148*60+E148)</f>
        <v/>
      </c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</row>
    <row r="149">
      <c r="A149" s="14" t="n"/>
      <c r="B149" s="14" t="n"/>
      <c r="C149" s="21">
        <f>IF(B149="","",IFERROR(INDEX(Listas!$E$2:$E$10,MATCH(B149,Listas!$D$2:$D$10,0)),"?"))</f>
        <v/>
      </c>
      <c r="D149" s="14" t="n"/>
      <c r="E149" s="14" t="n"/>
      <c r="F149" s="21">
        <f>IF(AND(D149="",E149=""),"",D149*60+E149)</f>
        <v/>
      </c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</row>
    <row r="150">
      <c r="A150" s="14" t="n"/>
      <c r="B150" s="14" t="n"/>
      <c r="C150" s="21">
        <f>IF(B150="","",IFERROR(INDEX(Listas!$E$2:$E$10,MATCH(B150,Listas!$D$2:$D$10,0)),"?"))</f>
        <v/>
      </c>
      <c r="D150" s="14" t="n"/>
      <c r="E150" s="14" t="n"/>
      <c r="F150" s="21">
        <f>IF(AND(D150="",E150=""),"",D150*60+E150)</f>
        <v/>
      </c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</row>
    <row r="151">
      <c r="A151" s="14" t="n"/>
      <c r="B151" s="14" t="n"/>
      <c r="C151" s="21">
        <f>IF(B151="","",IFERROR(INDEX(Listas!$E$2:$E$10,MATCH(B151,Listas!$D$2:$D$10,0)),"?"))</f>
        <v/>
      </c>
      <c r="D151" s="14" t="n"/>
      <c r="E151" s="14" t="n"/>
      <c r="F151" s="21">
        <f>IF(AND(D151="",E151=""),"",D151*60+E151)</f>
        <v/>
      </c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</row>
    <row r="152">
      <c r="A152" s="14" t="n"/>
      <c r="B152" s="14" t="n"/>
      <c r="C152" s="21">
        <f>IF(B152="","",IFERROR(INDEX(Listas!$E$2:$E$10,MATCH(B152,Listas!$D$2:$D$10,0)),"?"))</f>
        <v/>
      </c>
      <c r="D152" s="14" t="n"/>
      <c r="E152" s="14" t="n"/>
      <c r="F152" s="21">
        <f>IF(AND(D152="",E152=""),"",D152*60+E152)</f>
        <v/>
      </c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</row>
    <row r="153">
      <c r="A153" s="14" t="n"/>
      <c r="B153" s="14" t="n"/>
      <c r="C153" s="21">
        <f>IF(B153="","",IFERROR(INDEX(Listas!$E$2:$E$10,MATCH(B153,Listas!$D$2:$D$10,0)),"?"))</f>
        <v/>
      </c>
      <c r="D153" s="14" t="n"/>
      <c r="E153" s="14" t="n"/>
      <c r="F153" s="21">
        <f>IF(AND(D153="",E153=""),"",D153*60+E153)</f>
        <v/>
      </c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</row>
    <row r="154">
      <c r="A154" s="14" t="n"/>
      <c r="B154" s="14" t="n"/>
      <c r="C154" s="21">
        <f>IF(B154="","",IFERROR(INDEX(Listas!$E$2:$E$10,MATCH(B154,Listas!$D$2:$D$10,0)),"?"))</f>
        <v/>
      </c>
      <c r="D154" s="14" t="n"/>
      <c r="E154" s="14" t="n"/>
      <c r="F154" s="21">
        <f>IF(AND(D154="",E154=""),"",D154*60+E154)</f>
        <v/>
      </c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</row>
    <row r="155">
      <c r="A155" s="14" t="n"/>
      <c r="B155" s="14" t="n"/>
      <c r="C155" s="21">
        <f>IF(B155="","",IFERROR(INDEX(Listas!$E$2:$E$10,MATCH(B155,Listas!$D$2:$D$10,0)),"?"))</f>
        <v/>
      </c>
      <c r="D155" s="14" t="n"/>
      <c r="E155" s="14" t="n"/>
      <c r="F155" s="21">
        <f>IF(AND(D155="",E155=""),"",D155*60+E155)</f>
        <v/>
      </c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</row>
    <row r="156">
      <c r="A156" s="14" t="n"/>
      <c r="B156" s="14" t="n"/>
      <c r="C156" s="21">
        <f>IF(B156="","",IFERROR(INDEX(Listas!$E$2:$E$10,MATCH(B156,Listas!$D$2:$D$10,0)),"?"))</f>
        <v/>
      </c>
      <c r="D156" s="14" t="n"/>
      <c r="E156" s="14" t="n"/>
      <c r="F156" s="21">
        <f>IF(AND(D156="",E156=""),"",D156*60+E156)</f>
        <v/>
      </c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</row>
    <row r="157">
      <c r="A157" s="14" t="n"/>
      <c r="B157" s="14" t="n"/>
      <c r="C157" s="21">
        <f>IF(B157="","",IFERROR(INDEX(Listas!$E$2:$E$10,MATCH(B157,Listas!$D$2:$D$10,0)),"?"))</f>
        <v/>
      </c>
      <c r="D157" s="14" t="n"/>
      <c r="E157" s="14" t="n"/>
      <c r="F157" s="21">
        <f>IF(AND(D157="",E157=""),"",D157*60+E157)</f>
        <v/>
      </c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</row>
    <row r="158">
      <c r="A158" s="14" t="n"/>
      <c r="B158" s="14" t="n"/>
      <c r="C158" s="21">
        <f>IF(B158="","",IFERROR(INDEX(Listas!$E$2:$E$10,MATCH(B158,Listas!$D$2:$D$10,0)),"?"))</f>
        <v/>
      </c>
      <c r="D158" s="14" t="n"/>
      <c r="E158" s="14" t="n"/>
      <c r="F158" s="21">
        <f>IF(AND(D158="",E158=""),"",D158*60+E158)</f>
        <v/>
      </c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</row>
    <row r="159">
      <c r="A159" s="14" t="n"/>
      <c r="B159" s="14" t="n"/>
      <c r="C159" s="21">
        <f>IF(B159="","",IFERROR(INDEX(Listas!$E$2:$E$10,MATCH(B159,Listas!$D$2:$D$10,0)),"?"))</f>
        <v/>
      </c>
      <c r="D159" s="14" t="n"/>
      <c r="E159" s="14" t="n"/>
      <c r="F159" s="21">
        <f>IF(AND(D159="",E159=""),"",D159*60+E159)</f>
        <v/>
      </c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</row>
    <row r="160">
      <c r="A160" s="14" t="n"/>
      <c r="B160" s="14" t="n"/>
      <c r="C160" s="21">
        <f>IF(B160="","",IFERROR(INDEX(Listas!$E$2:$E$10,MATCH(B160,Listas!$D$2:$D$10,0)),"?"))</f>
        <v/>
      </c>
      <c r="D160" s="14" t="n"/>
      <c r="E160" s="14" t="n"/>
      <c r="F160" s="21">
        <f>IF(AND(D160="",E160=""),"",D160*60+E160)</f>
        <v/>
      </c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</row>
    <row r="161">
      <c r="A161" s="14" t="n"/>
      <c r="B161" s="14" t="n"/>
      <c r="C161" s="21">
        <f>IF(B161="","",IFERROR(INDEX(Listas!$E$2:$E$10,MATCH(B161,Listas!$D$2:$D$10,0)),"?"))</f>
        <v/>
      </c>
      <c r="D161" s="14" t="n"/>
      <c r="E161" s="14" t="n"/>
      <c r="F161" s="21">
        <f>IF(AND(D161="",E161=""),"",D161*60+E161)</f>
        <v/>
      </c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</row>
    <row r="162">
      <c r="A162" s="14" t="n"/>
      <c r="B162" s="14" t="n"/>
      <c r="C162" s="21">
        <f>IF(B162="","",IFERROR(INDEX(Listas!$E$2:$E$10,MATCH(B162,Listas!$D$2:$D$10,0)),"?"))</f>
        <v/>
      </c>
      <c r="D162" s="14" t="n"/>
      <c r="E162" s="14" t="n"/>
      <c r="F162" s="21">
        <f>IF(AND(D162="",E162=""),"",D162*60+E162)</f>
        <v/>
      </c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</row>
    <row r="163">
      <c r="A163" s="14" t="n"/>
      <c r="B163" s="14" t="n"/>
      <c r="C163" s="21">
        <f>IF(B163="","",IFERROR(INDEX(Listas!$E$2:$E$10,MATCH(B163,Listas!$D$2:$D$10,0)),"?"))</f>
        <v/>
      </c>
      <c r="D163" s="14" t="n"/>
      <c r="E163" s="14" t="n"/>
      <c r="F163" s="21">
        <f>IF(AND(D163="",E163=""),"",D163*60+E163)</f>
        <v/>
      </c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</row>
    <row r="164">
      <c r="A164" s="14" t="n"/>
      <c r="B164" s="14" t="n"/>
      <c r="C164" s="21">
        <f>IF(B164="","",IFERROR(INDEX(Listas!$E$2:$E$10,MATCH(B164,Listas!$D$2:$D$10,0)),"?"))</f>
        <v/>
      </c>
      <c r="D164" s="14" t="n"/>
      <c r="E164" s="14" t="n"/>
      <c r="F164" s="21">
        <f>IF(AND(D164="",E164=""),"",D164*60+E164)</f>
        <v/>
      </c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</row>
    <row r="165">
      <c r="A165" s="14" t="n"/>
      <c r="B165" s="14" t="n"/>
      <c r="C165" s="21">
        <f>IF(B165="","",IFERROR(INDEX(Listas!$E$2:$E$10,MATCH(B165,Listas!$D$2:$D$10,0)),"?"))</f>
        <v/>
      </c>
      <c r="D165" s="14" t="n"/>
      <c r="E165" s="14" t="n"/>
      <c r="F165" s="21">
        <f>IF(AND(D165="",E165=""),"",D165*60+E165)</f>
        <v/>
      </c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</row>
    <row r="166">
      <c r="A166" s="14" t="n"/>
      <c r="B166" s="14" t="n"/>
      <c r="C166" s="21">
        <f>IF(B166="","",IFERROR(INDEX(Listas!$E$2:$E$10,MATCH(B166,Listas!$D$2:$D$10,0)),"?"))</f>
        <v/>
      </c>
      <c r="D166" s="14" t="n"/>
      <c r="E166" s="14" t="n"/>
      <c r="F166" s="21">
        <f>IF(AND(D166="",E166=""),"",D166*60+E166)</f>
        <v/>
      </c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</row>
    <row r="167">
      <c r="A167" s="14" t="n"/>
      <c r="B167" s="14" t="n"/>
      <c r="C167" s="21">
        <f>IF(B167="","",IFERROR(INDEX(Listas!$E$2:$E$10,MATCH(B167,Listas!$D$2:$D$10,0)),"?"))</f>
        <v/>
      </c>
      <c r="D167" s="14" t="n"/>
      <c r="E167" s="14" t="n"/>
      <c r="F167" s="21">
        <f>IF(AND(D167="",E167=""),"",D167*60+E167)</f>
        <v/>
      </c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</row>
    <row r="168">
      <c r="A168" s="14" t="n"/>
      <c r="B168" s="14" t="n"/>
      <c r="C168" s="21">
        <f>IF(B168="","",IFERROR(INDEX(Listas!$E$2:$E$10,MATCH(B168,Listas!$D$2:$D$10,0)),"?"))</f>
        <v/>
      </c>
      <c r="D168" s="14" t="n"/>
      <c r="E168" s="14" t="n"/>
      <c r="F168" s="21">
        <f>IF(AND(D168="",E168=""),"",D168*60+E168)</f>
        <v/>
      </c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</row>
    <row r="169">
      <c r="A169" s="14" t="n"/>
      <c r="B169" s="14" t="n"/>
      <c r="C169" s="21">
        <f>IF(B169="","",IFERROR(INDEX(Listas!$E$2:$E$10,MATCH(B169,Listas!$D$2:$D$10,0)),"?"))</f>
        <v/>
      </c>
      <c r="D169" s="14" t="n"/>
      <c r="E169" s="14" t="n"/>
      <c r="F169" s="21">
        <f>IF(AND(D169="",E169=""),"",D169*60+E169)</f>
        <v/>
      </c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</row>
    <row r="170">
      <c r="A170" s="14" t="n"/>
      <c r="B170" s="14" t="n"/>
      <c r="C170" s="21">
        <f>IF(B170="","",IFERROR(INDEX(Listas!$E$2:$E$10,MATCH(B170,Listas!$D$2:$D$10,0)),"?"))</f>
        <v/>
      </c>
      <c r="D170" s="14" t="n"/>
      <c r="E170" s="14" t="n"/>
      <c r="F170" s="21">
        <f>IF(AND(D170="",E170=""),"",D170*60+E170)</f>
        <v/>
      </c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</row>
    <row r="171">
      <c r="A171" s="14" t="n"/>
      <c r="B171" s="14" t="n"/>
      <c r="C171" s="21">
        <f>IF(B171="","",IFERROR(INDEX(Listas!$E$2:$E$10,MATCH(B171,Listas!$D$2:$D$10,0)),"?"))</f>
        <v/>
      </c>
      <c r="D171" s="14" t="n"/>
      <c r="E171" s="14" t="n"/>
      <c r="F171" s="21">
        <f>IF(AND(D171="",E171=""),"",D171*60+E171)</f>
        <v/>
      </c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</row>
    <row r="172">
      <c r="A172" s="14" t="n"/>
      <c r="B172" s="14" t="n"/>
      <c r="C172" s="21">
        <f>IF(B172="","",IFERROR(INDEX(Listas!$E$2:$E$10,MATCH(B172,Listas!$D$2:$D$10,0)),"?"))</f>
        <v/>
      </c>
      <c r="D172" s="14" t="n"/>
      <c r="E172" s="14" t="n"/>
      <c r="F172" s="21">
        <f>IF(AND(D172="",E172=""),"",D172*60+E172)</f>
        <v/>
      </c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</row>
    <row r="173">
      <c r="A173" s="14" t="n"/>
      <c r="B173" s="14" t="n"/>
      <c r="C173" s="21">
        <f>IF(B173="","",IFERROR(INDEX(Listas!$E$2:$E$10,MATCH(B173,Listas!$D$2:$D$10,0)),"?"))</f>
        <v/>
      </c>
      <c r="D173" s="14" t="n"/>
      <c r="E173" s="14" t="n"/>
      <c r="F173" s="21">
        <f>IF(AND(D173="",E173=""),"",D173*60+E173)</f>
        <v/>
      </c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</row>
    <row r="174">
      <c r="A174" s="14" t="n"/>
      <c r="B174" s="14" t="n"/>
      <c r="C174" s="21">
        <f>IF(B174="","",IFERROR(INDEX(Listas!$E$2:$E$10,MATCH(B174,Listas!$D$2:$D$10,0)),"?"))</f>
        <v/>
      </c>
      <c r="D174" s="14" t="n"/>
      <c r="E174" s="14" t="n"/>
      <c r="F174" s="21">
        <f>IF(AND(D174="",E174=""),"",D174*60+E174)</f>
        <v/>
      </c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</row>
    <row r="175">
      <c r="A175" s="14" t="n"/>
      <c r="B175" s="14" t="n"/>
      <c r="C175" s="21">
        <f>IF(B175="","",IFERROR(INDEX(Listas!$E$2:$E$10,MATCH(B175,Listas!$D$2:$D$10,0)),"?"))</f>
        <v/>
      </c>
      <c r="D175" s="14" t="n"/>
      <c r="E175" s="14" t="n"/>
      <c r="F175" s="21">
        <f>IF(AND(D175="",E175=""),"",D175*60+E175)</f>
        <v/>
      </c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</row>
    <row r="176">
      <c r="A176" s="14" t="n"/>
      <c r="B176" s="14" t="n"/>
      <c r="C176" s="21">
        <f>IF(B176="","",IFERROR(INDEX(Listas!$E$2:$E$10,MATCH(B176,Listas!$D$2:$D$10,0)),"?"))</f>
        <v/>
      </c>
      <c r="D176" s="14" t="n"/>
      <c r="E176" s="14" t="n"/>
      <c r="F176" s="21">
        <f>IF(AND(D176="",E176=""),"",D176*60+E176)</f>
        <v/>
      </c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</row>
    <row r="177">
      <c r="A177" s="14" t="n"/>
      <c r="B177" s="14" t="n"/>
      <c r="C177" s="21">
        <f>IF(B177="","",IFERROR(INDEX(Listas!$E$2:$E$10,MATCH(B177,Listas!$D$2:$D$10,0)),"?"))</f>
        <v/>
      </c>
      <c r="D177" s="14" t="n"/>
      <c r="E177" s="14" t="n"/>
      <c r="F177" s="21">
        <f>IF(AND(D177="",E177=""),"",D177*60+E177)</f>
        <v/>
      </c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</row>
    <row r="178">
      <c r="A178" s="14" t="n"/>
      <c r="B178" s="14" t="n"/>
      <c r="C178" s="21">
        <f>IF(B178="","",IFERROR(INDEX(Listas!$E$2:$E$10,MATCH(B178,Listas!$D$2:$D$10,0)),"?"))</f>
        <v/>
      </c>
      <c r="D178" s="14" t="n"/>
      <c r="E178" s="14" t="n"/>
      <c r="F178" s="21">
        <f>IF(AND(D178="",E178=""),"",D178*60+E178)</f>
        <v/>
      </c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</row>
    <row r="179">
      <c r="A179" s="14" t="n"/>
      <c r="B179" s="14" t="n"/>
      <c r="C179" s="21">
        <f>IF(B179="","",IFERROR(INDEX(Listas!$E$2:$E$10,MATCH(B179,Listas!$D$2:$D$10,0)),"?"))</f>
        <v/>
      </c>
      <c r="D179" s="14" t="n"/>
      <c r="E179" s="14" t="n"/>
      <c r="F179" s="21">
        <f>IF(AND(D179="",E179=""),"",D179*60+E179)</f>
        <v/>
      </c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</row>
    <row r="180">
      <c r="A180" s="14" t="n"/>
      <c r="B180" s="14" t="n"/>
      <c r="C180" s="21">
        <f>IF(B180="","",IFERROR(INDEX(Listas!$E$2:$E$10,MATCH(B180,Listas!$D$2:$D$10,0)),"?"))</f>
        <v/>
      </c>
      <c r="D180" s="14" t="n"/>
      <c r="E180" s="14" t="n"/>
      <c r="F180" s="21">
        <f>IF(AND(D180="",E180=""),"",D180*60+E180)</f>
        <v/>
      </c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</row>
    <row r="181">
      <c r="A181" s="14" t="n"/>
      <c r="B181" s="14" t="n"/>
      <c r="C181" s="21">
        <f>IF(B181="","",IFERROR(INDEX(Listas!$E$2:$E$10,MATCH(B181,Listas!$D$2:$D$10,0)),"?"))</f>
        <v/>
      </c>
      <c r="D181" s="14" t="n"/>
      <c r="E181" s="14" t="n"/>
      <c r="F181" s="21">
        <f>IF(AND(D181="",E181=""),"",D181*60+E181)</f>
        <v/>
      </c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</row>
    <row r="182">
      <c r="A182" s="14" t="n"/>
      <c r="B182" s="14" t="n"/>
      <c r="C182" s="21">
        <f>IF(B182="","",IFERROR(INDEX(Listas!$E$2:$E$10,MATCH(B182,Listas!$D$2:$D$10,0)),"?"))</f>
        <v/>
      </c>
      <c r="D182" s="14" t="n"/>
      <c r="E182" s="14" t="n"/>
      <c r="F182" s="21">
        <f>IF(AND(D182="",E182=""),"",D182*60+E182)</f>
        <v/>
      </c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</row>
    <row r="183">
      <c r="A183" s="14" t="n"/>
      <c r="B183" s="14" t="n"/>
      <c r="C183" s="21">
        <f>IF(B183="","",IFERROR(INDEX(Listas!$E$2:$E$10,MATCH(B183,Listas!$D$2:$D$10,0)),"?"))</f>
        <v/>
      </c>
      <c r="D183" s="14" t="n"/>
      <c r="E183" s="14" t="n"/>
      <c r="F183" s="21">
        <f>IF(AND(D183="",E183=""),"",D183*60+E183)</f>
        <v/>
      </c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</row>
    <row r="184">
      <c r="A184" s="14" t="n"/>
      <c r="B184" s="14" t="n"/>
      <c r="C184" s="21">
        <f>IF(B184="","",IFERROR(INDEX(Listas!$E$2:$E$10,MATCH(B184,Listas!$D$2:$D$10,0)),"?"))</f>
        <v/>
      </c>
      <c r="D184" s="14" t="n"/>
      <c r="E184" s="14" t="n"/>
      <c r="F184" s="21">
        <f>IF(AND(D184="",E184=""),"",D184*60+E184)</f>
        <v/>
      </c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</row>
    <row r="185">
      <c r="A185" s="14" t="n"/>
      <c r="B185" s="14" t="n"/>
      <c r="C185" s="21">
        <f>IF(B185="","",IFERROR(INDEX(Listas!$E$2:$E$10,MATCH(B185,Listas!$D$2:$D$10,0)),"?"))</f>
        <v/>
      </c>
      <c r="D185" s="14" t="n"/>
      <c r="E185" s="14" t="n"/>
      <c r="F185" s="21">
        <f>IF(AND(D185="",E185=""),"",D185*60+E185)</f>
        <v/>
      </c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</row>
    <row r="186">
      <c r="A186" s="14" t="n"/>
      <c r="B186" s="14" t="n"/>
      <c r="C186" s="21">
        <f>IF(B186="","",IFERROR(INDEX(Listas!$E$2:$E$10,MATCH(B186,Listas!$D$2:$D$10,0)),"?"))</f>
        <v/>
      </c>
      <c r="D186" s="14" t="n"/>
      <c r="E186" s="14" t="n"/>
      <c r="F186" s="21">
        <f>IF(AND(D186="",E186=""),"",D186*60+E186)</f>
        <v/>
      </c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</row>
    <row r="187">
      <c r="A187" s="14" t="n"/>
      <c r="B187" s="14" t="n"/>
      <c r="C187" s="21">
        <f>IF(B187="","",IFERROR(INDEX(Listas!$E$2:$E$10,MATCH(B187,Listas!$D$2:$D$10,0)),"?"))</f>
        <v/>
      </c>
      <c r="D187" s="14" t="n"/>
      <c r="E187" s="14" t="n"/>
      <c r="F187" s="21">
        <f>IF(AND(D187="",E187=""),"",D187*60+E187)</f>
        <v/>
      </c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</row>
    <row r="188">
      <c r="A188" s="14" t="n"/>
      <c r="B188" s="14" t="n"/>
      <c r="C188" s="21">
        <f>IF(B188="","",IFERROR(INDEX(Listas!$E$2:$E$10,MATCH(B188,Listas!$D$2:$D$10,0)),"?"))</f>
        <v/>
      </c>
      <c r="D188" s="14" t="n"/>
      <c r="E188" s="14" t="n"/>
      <c r="F188" s="21">
        <f>IF(AND(D188="",E188=""),"",D188*60+E188)</f>
        <v/>
      </c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</row>
    <row r="189">
      <c r="A189" s="14" t="n"/>
      <c r="B189" s="14" t="n"/>
      <c r="C189" s="21">
        <f>IF(B189="","",IFERROR(INDEX(Listas!$E$2:$E$10,MATCH(B189,Listas!$D$2:$D$10,0)),"?"))</f>
        <v/>
      </c>
      <c r="D189" s="14" t="n"/>
      <c r="E189" s="14" t="n"/>
      <c r="F189" s="21">
        <f>IF(AND(D189="",E189=""),"",D189*60+E189)</f>
        <v/>
      </c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</row>
    <row r="190">
      <c r="A190" s="14" t="n"/>
      <c r="B190" s="14" t="n"/>
      <c r="C190" s="21">
        <f>IF(B190="","",IFERROR(INDEX(Listas!$E$2:$E$10,MATCH(B190,Listas!$D$2:$D$10,0)),"?"))</f>
        <v/>
      </c>
      <c r="D190" s="14" t="n"/>
      <c r="E190" s="14" t="n"/>
      <c r="F190" s="21">
        <f>IF(AND(D190="",E190=""),"",D190*60+E190)</f>
        <v/>
      </c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</row>
    <row r="191">
      <c r="A191" s="14" t="n"/>
      <c r="B191" s="14" t="n"/>
      <c r="C191" s="21">
        <f>IF(B191="","",IFERROR(INDEX(Listas!$E$2:$E$10,MATCH(B191,Listas!$D$2:$D$10,0)),"?"))</f>
        <v/>
      </c>
      <c r="D191" s="14" t="n"/>
      <c r="E191" s="14" t="n"/>
      <c r="F191" s="21">
        <f>IF(AND(D191="",E191=""),"",D191*60+E191)</f>
        <v/>
      </c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</row>
    <row r="192">
      <c r="A192" s="14" t="n"/>
      <c r="B192" s="14" t="n"/>
      <c r="C192" s="21">
        <f>IF(B192="","",IFERROR(INDEX(Listas!$E$2:$E$10,MATCH(B192,Listas!$D$2:$D$10,0)),"?"))</f>
        <v/>
      </c>
      <c r="D192" s="14" t="n"/>
      <c r="E192" s="14" t="n"/>
      <c r="F192" s="21">
        <f>IF(AND(D192="",E192=""),"",D192*60+E192)</f>
        <v/>
      </c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</row>
    <row r="193">
      <c r="A193" s="14" t="n"/>
      <c r="B193" s="14" t="n"/>
      <c r="C193" s="21">
        <f>IF(B193="","",IFERROR(INDEX(Listas!$E$2:$E$10,MATCH(B193,Listas!$D$2:$D$10,0)),"?"))</f>
        <v/>
      </c>
      <c r="D193" s="14" t="n"/>
      <c r="E193" s="14" t="n"/>
      <c r="F193" s="21">
        <f>IF(AND(D193="",E193=""),"",D193*60+E193)</f>
        <v/>
      </c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</row>
    <row r="194">
      <c r="A194" s="14" t="n"/>
      <c r="B194" s="14" t="n"/>
      <c r="C194" s="21">
        <f>IF(B194="","",IFERROR(INDEX(Listas!$E$2:$E$10,MATCH(B194,Listas!$D$2:$D$10,0)),"?"))</f>
        <v/>
      </c>
      <c r="D194" s="14" t="n"/>
      <c r="E194" s="14" t="n"/>
      <c r="F194" s="21">
        <f>IF(AND(D194="",E194=""),"",D194*60+E194)</f>
        <v/>
      </c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</row>
    <row r="195">
      <c r="A195" s="14" t="n"/>
      <c r="B195" s="14" t="n"/>
      <c r="C195" s="21">
        <f>IF(B195="","",IFERROR(INDEX(Listas!$E$2:$E$10,MATCH(B195,Listas!$D$2:$D$10,0)),"?"))</f>
        <v/>
      </c>
      <c r="D195" s="14" t="n"/>
      <c r="E195" s="14" t="n"/>
      <c r="F195" s="21">
        <f>IF(AND(D195="",E195=""),"",D195*60+E195)</f>
        <v/>
      </c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</row>
    <row r="196">
      <c r="A196" s="14" t="n"/>
      <c r="B196" s="14" t="n"/>
      <c r="C196" s="21">
        <f>IF(B196="","",IFERROR(INDEX(Listas!$E$2:$E$10,MATCH(B196,Listas!$D$2:$D$10,0)),"?"))</f>
        <v/>
      </c>
      <c r="D196" s="14" t="n"/>
      <c r="E196" s="14" t="n"/>
      <c r="F196" s="21">
        <f>IF(AND(D196="",E196=""),"",D196*60+E196)</f>
        <v/>
      </c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</row>
    <row r="197">
      <c r="A197" s="14" t="n"/>
      <c r="B197" s="14" t="n"/>
      <c r="C197" s="21">
        <f>IF(B197="","",IFERROR(INDEX(Listas!$E$2:$E$10,MATCH(B197,Listas!$D$2:$D$10,0)),"?"))</f>
        <v/>
      </c>
      <c r="D197" s="14" t="n"/>
      <c r="E197" s="14" t="n"/>
      <c r="F197" s="21">
        <f>IF(AND(D197="",E197=""),"",D197*60+E197)</f>
        <v/>
      </c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</row>
    <row r="198">
      <c r="A198" s="14" t="n"/>
      <c r="B198" s="14" t="n"/>
      <c r="C198" s="21">
        <f>IF(B198="","",IFERROR(INDEX(Listas!$E$2:$E$10,MATCH(B198,Listas!$D$2:$D$10,0)),"?"))</f>
        <v/>
      </c>
      <c r="D198" s="14" t="n"/>
      <c r="E198" s="14" t="n"/>
      <c r="F198" s="21">
        <f>IF(AND(D198="",E198=""),"",D198*60+E198)</f>
        <v/>
      </c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</row>
    <row r="199">
      <c r="A199" s="14" t="n"/>
      <c r="B199" s="14" t="n"/>
      <c r="C199" s="21">
        <f>IF(B199="","",IFERROR(INDEX(Listas!$E$2:$E$10,MATCH(B199,Listas!$D$2:$D$10,0)),"?"))</f>
        <v/>
      </c>
      <c r="D199" s="14" t="n"/>
      <c r="E199" s="14" t="n"/>
      <c r="F199" s="21">
        <f>IF(AND(D199="",E199=""),"",D199*60+E199)</f>
        <v/>
      </c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</row>
    <row r="200">
      <c r="A200" s="14" t="n"/>
      <c r="B200" s="14" t="n"/>
      <c r="C200" s="21">
        <f>IF(B200="","",IFERROR(INDEX(Listas!$E$2:$E$10,MATCH(B200,Listas!$D$2:$D$10,0)),"?"))</f>
        <v/>
      </c>
      <c r="D200" s="14" t="n"/>
      <c r="E200" s="14" t="n"/>
      <c r="F200" s="21">
        <f>IF(AND(D200="",E200=""),"",D200*60+E200)</f>
        <v/>
      </c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</row>
    <row r="201">
      <c r="A201" s="14" t="n"/>
      <c r="B201" s="14" t="n"/>
      <c r="C201" s="21">
        <f>IF(B201="","",IFERROR(INDEX(Listas!$E$2:$E$10,MATCH(B201,Listas!$D$2:$D$10,0)),"?"))</f>
        <v/>
      </c>
      <c r="D201" s="14" t="n"/>
      <c r="E201" s="14" t="n"/>
      <c r="F201" s="21">
        <f>IF(AND(D201="",E201=""),"",D201*60+E201)</f>
        <v/>
      </c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</row>
    <row r="202">
      <c r="A202" s="14" t="n"/>
      <c r="B202" s="14" t="n"/>
      <c r="C202" s="21">
        <f>IF(B202="","",IFERROR(INDEX(Listas!$E$2:$E$10,MATCH(B202,Listas!$D$2:$D$10,0)),"?"))</f>
        <v/>
      </c>
      <c r="D202" s="14" t="n"/>
      <c r="E202" s="14" t="n"/>
      <c r="F202" s="21">
        <f>IF(AND(D202="",E202=""),"",D202*60+E202)</f>
        <v/>
      </c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</row>
    <row r="203">
      <c r="A203" s="14" t="n"/>
      <c r="B203" s="14" t="n"/>
      <c r="C203" s="21">
        <f>IF(B203="","",IFERROR(INDEX(Listas!$E$2:$E$10,MATCH(B203,Listas!$D$2:$D$10,0)),"?"))</f>
        <v/>
      </c>
      <c r="D203" s="14" t="n"/>
      <c r="E203" s="14" t="n"/>
      <c r="F203" s="21">
        <f>IF(AND(D203="",E203=""),"",D203*60+E203)</f>
        <v/>
      </c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</row>
    <row r="204">
      <c r="A204" s="14" t="n"/>
      <c r="B204" s="14" t="n"/>
      <c r="C204" s="21">
        <f>IF(B204="","",IFERROR(INDEX(Listas!$E$2:$E$10,MATCH(B204,Listas!$D$2:$D$10,0)),"?"))</f>
        <v/>
      </c>
      <c r="D204" s="14" t="n"/>
      <c r="E204" s="14" t="n"/>
      <c r="F204" s="21">
        <f>IF(AND(D204="",E204=""),"",D204*60+E204)</f>
        <v/>
      </c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</row>
    <row r="205">
      <c r="A205" s="14" t="n"/>
      <c r="B205" s="14" t="n"/>
      <c r="C205" s="21">
        <f>IF(B205="","",IFERROR(INDEX(Listas!$E$2:$E$10,MATCH(B205,Listas!$D$2:$D$10,0)),"?"))</f>
        <v/>
      </c>
      <c r="D205" s="14" t="n"/>
      <c r="E205" s="14" t="n"/>
      <c r="F205" s="21">
        <f>IF(AND(D205="",E205=""),"",D205*60+E205)</f>
        <v/>
      </c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</row>
    <row r="206">
      <c r="A206" s="14" t="n"/>
      <c r="B206" s="14" t="n"/>
      <c r="C206" s="21">
        <f>IF(B206="","",IFERROR(INDEX(Listas!$E$2:$E$10,MATCH(B206,Listas!$D$2:$D$10,0)),"?"))</f>
        <v/>
      </c>
      <c r="D206" s="14" t="n"/>
      <c r="E206" s="14" t="n"/>
      <c r="F206" s="21">
        <f>IF(AND(D206="",E206=""),"",D206*60+E206)</f>
        <v/>
      </c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</row>
    <row r="207">
      <c r="A207" s="14" t="n"/>
      <c r="B207" s="14" t="n"/>
      <c r="C207" s="21">
        <f>IF(B207="","",IFERROR(INDEX(Listas!$E$2:$E$10,MATCH(B207,Listas!$D$2:$D$10,0)),"?"))</f>
        <v/>
      </c>
      <c r="D207" s="14" t="n"/>
      <c r="E207" s="14" t="n"/>
      <c r="F207" s="21">
        <f>IF(AND(D207="",E207=""),"",D207*60+E207)</f>
        <v/>
      </c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</row>
    <row r="208">
      <c r="A208" s="14" t="n"/>
      <c r="B208" s="14" t="n"/>
      <c r="C208" s="21">
        <f>IF(B208="","",IFERROR(INDEX(Listas!$E$2:$E$10,MATCH(B208,Listas!$D$2:$D$10,0)),"?"))</f>
        <v/>
      </c>
      <c r="D208" s="14" t="n"/>
      <c r="E208" s="14" t="n"/>
      <c r="F208" s="21">
        <f>IF(AND(D208="",E208=""),"",D208*60+E208)</f>
        <v/>
      </c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</row>
    <row r="209">
      <c r="A209" s="14" t="n"/>
      <c r="B209" s="14" t="n"/>
      <c r="C209" s="21">
        <f>IF(B209="","",IFERROR(INDEX(Listas!$E$2:$E$10,MATCH(B209,Listas!$D$2:$D$10,0)),"?"))</f>
        <v/>
      </c>
      <c r="D209" s="14" t="n"/>
      <c r="E209" s="14" t="n"/>
      <c r="F209" s="21">
        <f>IF(AND(D209="",E209=""),"",D209*60+E209)</f>
        <v/>
      </c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</row>
    <row r="210">
      <c r="A210" s="14" t="n"/>
      <c r="B210" s="14" t="n"/>
      <c r="C210" s="21">
        <f>IF(B210="","",IFERROR(INDEX(Listas!$E$2:$E$10,MATCH(B210,Listas!$D$2:$D$10,0)),"?"))</f>
        <v/>
      </c>
      <c r="D210" s="14" t="n"/>
      <c r="E210" s="14" t="n"/>
      <c r="F210" s="21">
        <f>IF(AND(D210="",E210=""),"",D210*60+E210)</f>
        <v/>
      </c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</row>
    <row r="211">
      <c r="A211" s="14" t="n"/>
      <c r="B211" s="14" t="n"/>
      <c r="C211" s="21">
        <f>IF(B211="","",IFERROR(INDEX(Listas!$E$2:$E$10,MATCH(B211,Listas!$D$2:$D$10,0)),"?"))</f>
        <v/>
      </c>
      <c r="D211" s="14" t="n"/>
      <c r="E211" s="14" t="n"/>
      <c r="F211" s="21">
        <f>IF(AND(D211="",E211=""),"",D211*60+E211)</f>
        <v/>
      </c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</row>
    <row r="212">
      <c r="A212" s="14" t="n"/>
      <c r="B212" s="14" t="n"/>
      <c r="C212" s="21">
        <f>IF(B212="","",IFERROR(INDEX(Listas!$E$2:$E$10,MATCH(B212,Listas!$D$2:$D$10,0)),"?"))</f>
        <v/>
      </c>
      <c r="D212" s="14" t="n"/>
      <c r="E212" s="14" t="n"/>
      <c r="F212" s="21">
        <f>IF(AND(D212="",E212=""),"",D212*60+E212)</f>
        <v/>
      </c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</row>
    <row r="213">
      <c r="A213" s="14" t="n"/>
      <c r="B213" s="14" t="n"/>
      <c r="C213" s="21">
        <f>IF(B213="","",IFERROR(INDEX(Listas!$E$2:$E$10,MATCH(B213,Listas!$D$2:$D$10,0)),"?"))</f>
        <v/>
      </c>
      <c r="D213" s="14" t="n"/>
      <c r="E213" s="14" t="n"/>
      <c r="F213" s="21">
        <f>IF(AND(D213="",E213=""),"",D213*60+E213)</f>
        <v/>
      </c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</row>
    <row r="214">
      <c r="A214" s="14" t="n"/>
      <c r="B214" s="14" t="n"/>
      <c r="C214" s="21">
        <f>IF(B214="","",IFERROR(INDEX(Listas!$E$2:$E$10,MATCH(B214,Listas!$D$2:$D$10,0)),"?"))</f>
        <v/>
      </c>
      <c r="D214" s="14" t="n"/>
      <c r="E214" s="14" t="n"/>
      <c r="F214" s="21">
        <f>IF(AND(D214="",E214=""),"",D214*60+E214)</f>
        <v/>
      </c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</row>
    <row r="215">
      <c r="A215" s="14" t="n"/>
      <c r="B215" s="14" t="n"/>
      <c r="C215" s="21">
        <f>IF(B215="","",IFERROR(INDEX(Listas!$E$2:$E$10,MATCH(B215,Listas!$D$2:$D$10,0)),"?"))</f>
        <v/>
      </c>
      <c r="D215" s="14" t="n"/>
      <c r="E215" s="14" t="n"/>
      <c r="F215" s="21">
        <f>IF(AND(D215="",E215=""),"",D215*60+E215)</f>
        <v/>
      </c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</row>
    <row r="216">
      <c r="A216" s="14" t="n"/>
      <c r="B216" s="14" t="n"/>
      <c r="C216" s="21">
        <f>IF(B216="","",IFERROR(INDEX(Listas!$E$2:$E$10,MATCH(B216,Listas!$D$2:$D$10,0)),"?"))</f>
        <v/>
      </c>
      <c r="D216" s="14" t="n"/>
      <c r="E216" s="14" t="n"/>
      <c r="F216" s="21">
        <f>IF(AND(D216="",E216=""),"",D216*60+E216)</f>
        <v/>
      </c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</row>
    <row r="217">
      <c r="A217" s="14" t="n"/>
      <c r="B217" s="14" t="n"/>
      <c r="C217" s="21">
        <f>IF(B217="","",IFERROR(INDEX(Listas!$E$2:$E$10,MATCH(B217,Listas!$D$2:$D$10,0)),"?"))</f>
        <v/>
      </c>
      <c r="D217" s="14" t="n"/>
      <c r="E217" s="14" t="n"/>
      <c r="F217" s="21">
        <f>IF(AND(D217="",E217=""),"",D217*60+E217)</f>
        <v/>
      </c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</row>
    <row r="218">
      <c r="A218" s="14" t="n"/>
      <c r="B218" s="14" t="n"/>
      <c r="C218" s="21">
        <f>IF(B218="","",IFERROR(INDEX(Listas!$E$2:$E$10,MATCH(B218,Listas!$D$2:$D$10,0)),"?"))</f>
        <v/>
      </c>
      <c r="D218" s="14" t="n"/>
      <c r="E218" s="14" t="n"/>
      <c r="F218" s="21">
        <f>IF(AND(D218="",E218=""),"",D218*60+E218)</f>
        <v/>
      </c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</row>
    <row r="219">
      <c r="A219" s="14" t="n"/>
      <c r="B219" s="14" t="n"/>
      <c r="C219" s="21">
        <f>IF(B219="","",IFERROR(INDEX(Listas!$E$2:$E$10,MATCH(B219,Listas!$D$2:$D$10,0)),"?"))</f>
        <v/>
      </c>
      <c r="D219" s="14" t="n"/>
      <c r="E219" s="14" t="n"/>
      <c r="F219" s="21">
        <f>IF(AND(D219="",E219=""),"",D219*60+E219)</f>
        <v/>
      </c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</row>
    <row r="220">
      <c r="A220" s="14" t="n"/>
      <c r="B220" s="14" t="n"/>
      <c r="C220" s="21">
        <f>IF(B220="","",IFERROR(INDEX(Listas!$E$2:$E$10,MATCH(B220,Listas!$D$2:$D$10,0)),"?"))</f>
        <v/>
      </c>
      <c r="D220" s="14" t="n"/>
      <c r="E220" s="14" t="n"/>
      <c r="F220" s="21">
        <f>IF(AND(D220="",E220=""),"",D220*60+E220)</f>
        <v/>
      </c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</row>
    <row r="221">
      <c r="A221" s="14" t="n"/>
      <c r="B221" s="14" t="n"/>
      <c r="C221" s="21">
        <f>IF(B221="","",IFERROR(INDEX(Listas!$E$2:$E$10,MATCH(B221,Listas!$D$2:$D$10,0)),"?"))</f>
        <v/>
      </c>
      <c r="D221" s="14" t="n"/>
      <c r="E221" s="14" t="n"/>
      <c r="F221" s="21">
        <f>IF(AND(D221="",E221=""),"",D221*60+E221)</f>
        <v/>
      </c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</row>
    <row r="222">
      <c r="A222" s="14" t="n"/>
      <c r="B222" s="14" t="n"/>
      <c r="C222" s="21">
        <f>IF(B222="","",IFERROR(INDEX(Listas!$E$2:$E$10,MATCH(B222,Listas!$D$2:$D$10,0)),"?"))</f>
        <v/>
      </c>
      <c r="D222" s="14" t="n"/>
      <c r="E222" s="14" t="n"/>
      <c r="F222" s="21">
        <f>IF(AND(D222="",E222=""),"",D222*60+E222)</f>
        <v/>
      </c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</row>
    <row r="223">
      <c r="A223" s="14" t="n"/>
      <c r="B223" s="14" t="n"/>
      <c r="C223" s="21">
        <f>IF(B223="","",IFERROR(INDEX(Listas!$E$2:$E$10,MATCH(B223,Listas!$D$2:$D$10,0)),"?"))</f>
        <v/>
      </c>
      <c r="D223" s="14" t="n"/>
      <c r="E223" s="14" t="n"/>
      <c r="F223" s="21">
        <f>IF(AND(D223="",E223=""),"",D223*60+E223)</f>
        <v/>
      </c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</row>
    <row r="224">
      <c r="A224" s="14" t="n"/>
      <c r="B224" s="14" t="n"/>
      <c r="C224" s="21">
        <f>IF(B224="","",IFERROR(INDEX(Listas!$E$2:$E$10,MATCH(B224,Listas!$D$2:$D$10,0)),"?"))</f>
        <v/>
      </c>
      <c r="D224" s="14" t="n"/>
      <c r="E224" s="14" t="n"/>
      <c r="F224" s="21">
        <f>IF(AND(D224="",E224=""),"",D224*60+E224)</f>
        <v/>
      </c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</row>
    <row r="225">
      <c r="A225" s="14" t="n"/>
      <c r="B225" s="14" t="n"/>
      <c r="C225" s="21">
        <f>IF(B225="","",IFERROR(INDEX(Listas!$E$2:$E$10,MATCH(B225,Listas!$D$2:$D$10,0)),"?"))</f>
        <v/>
      </c>
      <c r="D225" s="14" t="n"/>
      <c r="E225" s="14" t="n"/>
      <c r="F225" s="21">
        <f>IF(AND(D225="",E225=""),"",D225*60+E225)</f>
        <v/>
      </c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</row>
    <row r="226">
      <c r="A226" s="14" t="n"/>
      <c r="B226" s="14" t="n"/>
      <c r="C226" s="21">
        <f>IF(B226="","",IFERROR(INDEX(Listas!$E$2:$E$10,MATCH(B226,Listas!$D$2:$D$10,0)),"?"))</f>
        <v/>
      </c>
      <c r="D226" s="14" t="n"/>
      <c r="E226" s="14" t="n"/>
      <c r="F226" s="21">
        <f>IF(AND(D226="",E226=""),"",D226*60+E226)</f>
        <v/>
      </c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</row>
    <row r="227">
      <c r="A227" s="14" t="n"/>
      <c r="B227" s="14" t="n"/>
      <c r="C227" s="21">
        <f>IF(B227="","",IFERROR(INDEX(Listas!$E$2:$E$10,MATCH(B227,Listas!$D$2:$D$10,0)),"?"))</f>
        <v/>
      </c>
      <c r="D227" s="14" t="n"/>
      <c r="E227" s="14" t="n"/>
      <c r="F227" s="21">
        <f>IF(AND(D227="",E227=""),"",D227*60+E227)</f>
        <v/>
      </c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</row>
    <row r="228">
      <c r="A228" s="14" t="n"/>
      <c r="B228" s="14" t="n"/>
      <c r="C228" s="21">
        <f>IF(B228="","",IFERROR(INDEX(Listas!$E$2:$E$10,MATCH(B228,Listas!$D$2:$D$10,0)),"?"))</f>
        <v/>
      </c>
      <c r="D228" s="14" t="n"/>
      <c r="E228" s="14" t="n"/>
      <c r="F228" s="21">
        <f>IF(AND(D228="",E228=""),"",D228*60+E228)</f>
        <v/>
      </c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</row>
    <row r="229">
      <c r="A229" s="14" t="n"/>
      <c r="B229" s="14" t="n"/>
      <c r="C229" s="21">
        <f>IF(B229="","",IFERROR(INDEX(Listas!$E$2:$E$10,MATCH(B229,Listas!$D$2:$D$10,0)),"?"))</f>
        <v/>
      </c>
      <c r="D229" s="14" t="n"/>
      <c r="E229" s="14" t="n"/>
      <c r="F229" s="21">
        <f>IF(AND(D229="",E229=""),"",D229*60+E229)</f>
        <v/>
      </c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</row>
    <row r="230">
      <c r="A230" s="14" t="n"/>
      <c r="B230" s="14" t="n"/>
      <c r="C230" s="21">
        <f>IF(B230="","",IFERROR(INDEX(Listas!$E$2:$E$10,MATCH(B230,Listas!$D$2:$D$10,0)),"?"))</f>
        <v/>
      </c>
      <c r="D230" s="14" t="n"/>
      <c r="E230" s="14" t="n"/>
      <c r="F230" s="21">
        <f>IF(AND(D230="",E230=""),"",D230*60+E230)</f>
        <v/>
      </c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</row>
    <row r="231">
      <c r="A231" s="14" t="n"/>
      <c r="B231" s="14" t="n"/>
      <c r="C231" s="21">
        <f>IF(B231="","",IFERROR(INDEX(Listas!$E$2:$E$10,MATCH(B231,Listas!$D$2:$D$10,0)),"?"))</f>
        <v/>
      </c>
      <c r="D231" s="14" t="n"/>
      <c r="E231" s="14" t="n"/>
      <c r="F231" s="21">
        <f>IF(AND(D231="",E231=""),"",D231*60+E231)</f>
        <v/>
      </c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</row>
    <row r="232">
      <c r="A232" s="14" t="n"/>
      <c r="B232" s="14" t="n"/>
      <c r="C232" s="21">
        <f>IF(B232="","",IFERROR(INDEX(Listas!$E$2:$E$10,MATCH(B232,Listas!$D$2:$D$10,0)),"?"))</f>
        <v/>
      </c>
      <c r="D232" s="14" t="n"/>
      <c r="E232" s="14" t="n"/>
      <c r="F232" s="21">
        <f>IF(AND(D232="",E232=""),"",D232*60+E232)</f>
        <v/>
      </c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</row>
    <row r="233">
      <c r="A233" s="14" t="n"/>
      <c r="B233" s="14" t="n"/>
      <c r="C233" s="21">
        <f>IF(B233="","",IFERROR(INDEX(Listas!$E$2:$E$10,MATCH(B233,Listas!$D$2:$D$10,0)),"?"))</f>
        <v/>
      </c>
      <c r="D233" s="14" t="n"/>
      <c r="E233" s="14" t="n"/>
      <c r="F233" s="21">
        <f>IF(AND(D233="",E233=""),"",D233*60+E233)</f>
        <v/>
      </c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</row>
    <row r="234">
      <c r="A234" s="14" t="n"/>
      <c r="B234" s="14" t="n"/>
      <c r="C234" s="21">
        <f>IF(B234="","",IFERROR(INDEX(Listas!$E$2:$E$10,MATCH(B234,Listas!$D$2:$D$10,0)),"?"))</f>
        <v/>
      </c>
      <c r="D234" s="14" t="n"/>
      <c r="E234" s="14" t="n"/>
      <c r="F234" s="21">
        <f>IF(AND(D234="",E234=""),"",D234*60+E234)</f>
        <v/>
      </c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</row>
    <row r="235">
      <c r="A235" s="14" t="n"/>
      <c r="B235" s="14" t="n"/>
      <c r="C235" s="21">
        <f>IF(B235="","",IFERROR(INDEX(Listas!$E$2:$E$10,MATCH(B235,Listas!$D$2:$D$10,0)),"?"))</f>
        <v/>
      </c>
      <c r="D235" s="14" t="n"/>
      <c r="E235" s="14" t="n"/>
      <c r="F235" s="21">
        <f>IF(AND(D235="",E235=""),"",D235*60+E235)</f>
        <v/>
      </c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</row>
    <row r="236">
      <c r="A236" s="14" t="n"/>
      <c r="B236" s="14" t="n"/>
      <c r="C236" s="21">
        <f>IF(B236="","",IFERROR(INDEX(Listas!$E$2:$E$10,MATCH(B236,Listas!$D$2:$D$10,0)),"?"))</f>
        <v/>
      </c>
      <c r="D236" s="14" t="n"/>
      <c r="E236" s="14" t="n"/>
      <c r="F236" s="21">
        <f>IF(AND(D236="",E236=""),"",D236*60+E236)</f>
        <v/>
      </c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</row>
    <row r="237">
      <c r="A237" s="14" t="n"/>
      <c r="B237" s="14" t="n"/>
      <c r="C237" s="21">
        <f>IF(B237="","",IFERROR(INDEX(Listas!$E$2:$E$10,MATCH(B237,Listas!$D$2:$D$10,0)),"?"))</f>
        <v/>
      </c>
      <c r="D237" s="14" t="n"/>
      <c r="E237" s="14" t="n"/>
      <c r="F237" s="21">
        <f>IF(AND(D237="",E237=""),"",D237*60+E237)</f>
        <v/>
      </c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</row>
    <row r="238">
      <c r="A238" s="14" t="n"/>
      <c r="B238" s="14" t="n"/>
      <c r="C238" s="21">
        <f>IF(B238="","",IFERROR(INDEX(Listas!$E$2:$E$10,MATCH(B238,Listas!$D$2:$D$10,0)),"?"))</f>
        <v/>
      </c>
      <c r="D238" s="14" t="n"/>
      <c r="E238" s="14" t="n"/>
      <c r="F238" s="21">
        <f>IF(AND(D238="",E238=""),"",D238*60+E238)</f>
        <v/>
      </c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</row>
    <row r="239">
      <c r="A239" s="14" t="n"/>
      <c r="B239" s="14" t="n"/>
      <c r="C239" s="21">
        <f>IF(B239="","",IFERROR(INDEX(Listas!$E$2:$E$10,MATCH(B239,Listas!$D$2:$D$10,0)),"?"))</f>
        <v/>
      </c>
      <c r="D239" s="14" t="n"/>
      <c r="E239" s="14" t="n"/>
      <c r="F239" s="21">
        <f>IF(AND(D239="",E239=""),"",D239*60+E239)</f>
        <v/>
      </c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</row>
    <row r="240">
      <c r="A240" s="14" t="n"/>
      <c r="B240" s="14" t="n"/>
      <c r="C240" s="21">
        <f>IF(B240="","",IFERROR(INDEX(Listas!$E$2:$E$10,MATCH(B240,Listas!$D$2:$D$10,0)),"?"))</f>
        <v/>
      </c>
      <c r="D240" s="14" t="n"/>
      <c r="E240" s="14" t="n"/>
      <c r="F240" s="21">
        <f>IF(AND(D240="",E240=""),"",D240*60+E240)</f>
        <v/>
      </c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</row>
    <row r="241">
      <c r="A241" s="14" t="n"/>
      <c r="B241" s="14" t="n"/>
      <c r="C241" s="21">
        <f>IF(B241="","",IFERROR(INDEX(Listas!$E$2:$E$10,MATCH(B241,Listas!$D$2:$D$10,0)),"?"))</f>
        <v/>
      </c>
      <c r="D241" s="14" t="n"/>
      <c r="E241" s="14" t="n"/>
      <c r="F241" s="21">
        <f>IF(AND(D241="",E241=""),"",D241*60+E241)</f>
        <v/>
      </c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</row>
    <row r="242">
      <c r="A242" s="14" t="n"/>
      <c r="B242" s="14" t="n"/>
      <c r="C242" s="21">
        <f>IF(B242="","",IFERROR(INDEX(Listas!$E$2:$E$10,MATCH(B242,Listas!$D$2:$D$10,0)),"?"))</f>
        <v/>
      </c>
      <c r="D242" s="14" t="n"/>
      <c r="E242" s="14" t="n"/>
      <c r="F242" s="21">
        <f>IF(AND(D242="",E242=""),"",D242*60+E242)</f>
        <v/>
      </c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</row>
    <row r="243">
      <c r="A243" s="14" t="n"/>
      <c r="B243" s="14" t="n"/>
      <c r="C243" s="21">
        <f>IF(B243="","",IFERROR(INDEX(Listas!$E$2:$E$10,MATCH(B243,Listas!$D$2:$D$10,0)),"?"))</f>
        <v/>
      </c>
      <c r="D243" s="14" t="n"/>
      <c r="E243" s="14" t="n"/>
      <c r="F243" s="21">
        <f>IF(AND(D243="",E243=""),"",D243*60+E243)</f>
        <v/>
      </c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</row>
    <row r="244">
      <c r="A244" s="14" t="n"/>
      <c r="B244" s="14" t="n"/>
      <c r="C244" s="21">
        <f>IF(B244="","",IFERROR(INDEX(Listas!$E$2:$E$10,MATCH(B244,Listas!$D$2:$D$10,0)),"?"))</f>
        <v/>
      </c>
      <c r="D244" s="14" t="n"/>
      <c r="E244" s="14" t="n"/>
      <c r="F244" s="21">
        <f>IF(AND(D244="",E244=""),"",D244*60+E244)</f>
        <v/>
      </c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</row>
    <row r="245">
      <c r="A245" s="14" t="n"/>
      <c r="B245" s="14" t="n"/>
      <c r="C245" s="21">
        <f>IF(B245="","",IFERROR(INDEX(Listas!$E$2:$E$10,MATCH(B245,Listas!$D$2:$D$10,0)),"?"))</f>
        <v/>
      </c>
      <c r="D245" s="14" t="n"/>
      <c r="E245" s="14" t="n"/>
      <c r="F245" s="21">
        <f>IF(AND(D245="",E245=""),"",D245*60+E245)</f>
        <v/>
      </c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</row>
    <row r="246">
      <c r="A246" s="14" t="n"/>
      <c r="B246" s="14" t="n"/>
      <c r="C246" s="21">
        <f>IF(B246="","",IFERROR(INDEX(Listas!$E$2:$E$10,MATCH(B246,Listas!$D$2:$D$10,0)),"?"))</f>
        <v/>
      </c>
      <c r="D246" s="14" t="n"/>
      <c r="E246" s="14" t="n"/>
      <c r="F246" s="21">
        <f>IF(AND(D246="",E246=""),"",D246*60+E246)</f>
        <v/>
      </c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</row>
    <row r="247">
      <c r="A247" s="14" t="n"/>
      <c r="B247" s="14" t="n"/>
      <c r="C247" s="21">
        <f>IF(B247="","",IFERROR(INDEX(Listas!$E$2:$E$10,MATCH(B247,Listas!$D$2:$D$10,0)),"?"))</f>
        <v/>
      </c>
      <c r="D247" s="14" t="n"/>
      <c r="E247" s="14" t="n"/>
      <c r="F247" s="21">
        <f>IF(AND(D247="",E247=""),"",D247*60+E247)</f>
        <v/>
      </c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</row>
    <row r="248">
      <c r="A248" s="14" t="n"/>
      <c r="B248" s="14" t="n"/>
      <c r="C248" s="21">
        <f>IF(B248="","",IFERROR(INDEX(Listas!$E$2:$E$10,MATCH(B248,Listas!$D$2:$D$10,0)),"?"))</f>
        <v/>
      </c>
      <c r="D248" s="14" t="n"/>
      <c r="E248" s="14" t="n"/>
      <c r="F248" s="21">
        <f>IF(AND(D248="",E248=""),"",D248*60+E248)</f>
        <v/>
      </c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</row>
    <row r="249">
      <c r="A249" s="14" t="n"/>
      <c r="B249" s="14" t="n"/>
      <c r="C249" s="21">
        <f>IF(B249="","",IFERROR(INDEX(Listas!$E$2:$E$10,MATCH(B249,Listas!$D$2:$D$10,0)),"?"))</f>
        <v/>
      </c>
      <c r="D249" s="14" t="n"/>
      <c r="E249" s="14" t="n"/>
      <c r="F249" s="21">
        <f>IF(AND(D249="",E249=""),"",D249*60+E249)</f>
        <v/>
      </c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</row>
    <row r="250">
      <c r="A250" s="14" t="n"/>
      <c r="B250" s="14" t="n"/>
      <c r="C250" s="21">
        <f>IF(B250="","",IFERROR(INDEX(Listas!$E$2:$E$10,MATCH(B250,Listas!$D$2:$D$10,0)),"?"))</f>
        <v/>
      </c>
      <c r="D250" s="14" t="n"/>
      <c r="E250" s="14" t="n"/>
      <c r="F250" s="21">
        <f>IF(AND(D250="",E250=""),"",D250*60+E250)</f>
        <v/>
      </c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</row>
    <row r="251">
      <c r="A251" s="14" t="n"/>
      <c r="B251" s="14" t="n"/>
      <c r="C251" s="21">
        <f>IF(B251="","",IFERROR(INDEX(Listas!$E$2:$E$10,MATCH(B251,Listas!$D$2:$D$10,0)),"?"))</f>
        <v/>
      </c>
      <c r="D251" s="14" t="n"/>
      <c r="E251" s="14" t="n"/>
      <c r="F251" s="21">
        <f>IF(AND(D251="",E251=""),"",D251*60+E251)</f>
        <v/>
      </c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</row>
    <row r="252">
      <c r="A252" s="14" t="n"/>
      <c r="B252" s="14" t="n"/>
      <c r="C252" s="21">
        <f>IF(B252="","",IFERROR(INDEX(Listas!$E$2:$E$10,MATCH(B252,Listas!$D$2:$D$10,0)),"?"))</f>
        <v/>
      </c>
      <c r="D252" s="14" t="n"/>
      <c r="E252" s="14" t="n"/>
      <c r="F252" s="21">
        <f>IF(AND(D252="",E252=""),"",D252*60+E252)</f>
        <v/>
      </c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</row>
    <row r="253">
      <c r="A253" s="14" t="n"/>
      <c r="B253" s="14" t="n"/>
      <c r="C253" s="21">
        <f>IF(B253="","",IFERROR(INDEX(Listas!$E$2:$E$10,MATCH(B253,Listas!$D$2:$D$10,0)),"?"))</f>
        <v/>
      </c>
      <c r="D253" s="14" t="n"/>
      <c r="E253" s="14" t="n"/>
      <c r="F253" s="21">
        <f>IF(AND(D253="",E253=""),"",D253*60+E253)</f>
        <v/>
      </c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</row>
    <row r="254">
      <c r="A254" s="14" t="n"/>
      <c r="B254" s="14" t="n"/>
      <c r="C254" s="21">
        <f>IF(B254="","",IFERROR(INDEX(Listas!$E$2:$E$10,MATCH(B254,Listas!$D$2:$D$10,0)),"?"))</f>
        <v/>
      </c>
      <c r="D254" s="14" t="n"/>
      <c r="E254" s="14" t="n"/>
      <c r="F254" s="21">
        <f>IF(AND(D254="",E254=""),"",D254*60+E254)</f>
        <v/>
      </c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</row>
    <row r="255">
      <c r="A255" s="14" t="n"/>
      <c r="B255" s="14" t="n"/>
      <c r="C255" s="21">
        <f>IF(B255="","",IFERROR(INDEX(Listas!$E$2:$E$10,MATCH(B255,Listas!$D$2:$D$10,0)),"?"))</f>
        <v/>
      </c>
      <c r="D255" s="14" t="n"/>
      <c r="E255" s="14" t="n"/>
      <c r="F255" s="21">
        <f>IF(AND(D255="",E255=""),"",D255*60+E255)</f>
        <v/>
      </c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</row>
    <row r="256">
      <c r="A256" s="14" t="n"/>
      <c r="B256" s="14" t="n"/>
      <c r="C256" s="21">
        <f>IF(B256="","",IFERROR(INDEX(Listas!$E$2:$E$10,MATCH(B256,Listas!$D$2:$D$10,0)),"?"))</f>
        <v/>
      </c>
      <c r="D256" s="14" t="n"/>
      <c r="E256" s="14" t="n"/>
      <c r="F256" s="21">
        <f>IF(AND(D256="",E256=""),"",D256*60+E256)</f>
        <v/>
      </c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</row>
    <row r="257">
      <c r="A257" s="14" t="n"/>
      <c r="B257" s="14" t="n"/>
      <c r="C257" s="21">
        <f>IF(B257="","",IFERROR(INDEX(Listas!$E$2:$E$10,MATCH(B257,Listas!$D$2:$D$10,0)),"?"))</f>
        <v/>
      </c>
      <c r="D257" s="14" t="n"/>
      <c r="E257" s="14" t="n"/>
      <c r="F257" s="21">
        <f>IF(AND(D257="",E257=""),"",D257*60+E257)</f>
        <v/>
      </c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</row>
    <row r="258">
      <c r="A258" s="14" t="n"/>
      <c r="B258" s="14" t="n"/>
      <c r="C258" s="21">
        <f>IF(B258="","",IFERROR(INDEX(Listas!$E$2:$E$10,MATCH(B258,Listas!$D$2:$D$10,0)),"?"))</f>
        <v/>
      </c>
      <c r="D258" s="14" t="n"/>
      <c r="E258" s="14" t="n"/>
      <c r="F258" s="21">
        <f>IF(AND(D258="",E258=""),"",D258*60+E258)</f>
        <v/>
      </c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</row>
    <row r="259">
      <c r="A259" s="14" t="n"/>
      <c r="B259" s="14" t="n"/>
      <c r="C259" s="21">
        <f>IF(B259="","",IFERROR(INDEX(Listas!$E$2:$E$10,MATCH(B259,Listas!$D$2:$D$10,0)),"?"))</f>
        <v/>
      </c>
      <c r="D259" s="14" t="n"/>
      <c r="E259" s="14" t="n"/>
      <c r="F259" s="21">
        <f>IF(AND(D259="",E259=""),"",D259*60+E259)</f>
        <v/>
      </c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</row>
    <row r="260">
      <c r="A260" s="14" t="n"/>
      <c r="B260" s="14" t="n"/>
      <c r="C260" s="21">
        <f>IF(B260="","",IFERROR(INDEX(Listas!$E$2:$E$10,MATCH(B260,Listas!$D$2:$D$10,0)),"?"))</f>
        <v/>
      </c>
      <c r="D260" s="14" t="n"/>
      <c r="E260" s="14" t="n"/>
      <c r="F260" s="21">
        <f>IF(AND(D260="",E260=""),"",D260*60+E260)</f>
        <v/>
      </c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</row>
    <row r="261">
      <c r="A261" s="14" t="n"/>
      <c r="B261" s="14" t="n"/>
      <c r="C261" s="21">
        <f>IF(B261="","",IFERROR(INDEX(Listas!$E$2:$E$10,MATCH(B261,Listas!$D$2:$D$10,0)),"?"))</f>
        <v/>
      </c>
      <c r="D261" s="14" t="n"/>
      <c r="E261" s="14" t="n"/>
      <c r="F261" s="21">
        <f>IF(AND(D261="",E261=""),"",D261*60+E261)</f>
        <v/>
      </c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</row>
    <row r="262">
      <c r="A262" s="14" t="n"/>
      <c r="B262" s="14" t="n"/>
      <c r="C262" s="21">
        <f>IF(B262="","",IFERROR(INDEX(Listas!$E$2:$E$10,MATCH(B262,Listas!$D$2:$D$10,0)),"?"))</f>
        <v/>
      </c>
      <c r="D262" s="14" t="n"/>
      <c r="E262" s="14" t="n"/>
      <c r="F262" s="21">
        <f>IF(AND(D262="",E262=""),"",D262*60+E262)</f>
        <v/>
      </c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</row>
    <row r="263">
      <c r="A263" s="14" t="n"/>
      <c r="B263" s="14" t="n"/>
      <c r="C263" s="21">
        <f>IF(B263="","",IFERROR(INDEX(Listas!$E$2:$E$10,MATCH(B263,Listas!$D$2:$D$10,0)),"?"))</f>
        <v/>
      </c>
      <c r="D263" s="14" t="n"/>
      <c r="E263" s="14" t="n"/>
      <c r="F263" s="21">
        <f>IF(AND(D263="",E263=""),"",D263*60+E263)</f>
        <v/>
      </c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</row>
    <row r="264">
      <c r="A264" s="14" t="n"/>
      <c r="B264" s="14" t="n"/>
      <c r="C264" s="21">
        <f>IF(B264="","",IFERROR(INDEX(Listas!$E$2:$E$10,MATCH(B264,Listas!$D$2:$D$10,0)),"?"))</f>
        <v/>
      </c>
      <c r="D264" s="14" t="n"/>
      <c r="E264" s="14" t="n"/>
      <c r="F264" s="21">
        <f>IF(AND(D264="",E264=""),"",D264*60+E264)</f>
        <v/>
      </c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</row>
    <row r="265">
      <c r="A265" s="14" t="n"/>
      <c r="B265" s="14" t="n"/>
      <c r="C265" s="21">
        <f>IF(B265="","",IFERROR(INDEX(Listas!$E$2:$E$10,MATCH(B265,Listas!$D$2:$D$10,0)),"?"))</f>
        <v/>
      </c>
      <c r="D265" s="14" t="n"/>
      <c r="E265" s="14" t="n"/>
      <c r="F265" s="21">
        <f>IF(AND(D265="",E265=""),"",D265*60+E265)</f>
        <v/>
      </c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</row>
    <row r="266">
      <c r="A266" s="14" t="n"/>
      <c r="B266" s="14" t="n"/>
      <c r="C266" s="21">
        <f>IF(B266="","",IFERROR(INDEX(Listas!$E$2:$E$10,MATCH(B266,Listas!$D$2:$D$10,0)),"?"))</f>
        <v/>
      </c>
      <c r="D266" s="14" t="n"/>
      <c r="E266" s="14" t="n"/>
      <c r="F266" s="21">
        <f>IF(AND(D266="",E266=""),"",D266*60+E266)</f>
        <v/>
      </c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</row>
    <row r="267">
      <c r="A267" s="14" t="n"/>
      <c r="B267" s="14" t="n"/>
      <c r="C267" s="21">
        <f>IF(B267="","",IFERROR(INDEX(Listas!$E$2:$E$10,MATCH(B267,Listas!$D$2:$D$10,0)),"?"))</f>
        <v/>
      </c>
      <c r="D267" s="14" t="n"/>
      <c r="E267" s="14" t="n"/>
      <c r="F267" s="21">
        <f>IF(AND(D267="",E267=""),"",D267*60+E267)</f>
        <v/>
      </c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</row>
    <row r="268">
      <c r="A268" s="14" t="n"/>
      <c r="B268" s="14" t="n"/>
      <c r="C268" s="21">
        <f>IF(B268="","",IFERROR(INDEX(Listas!$E$2:$E$10,MATCH(B268,Listas!$D$2:$D$10,0)),"?"))</f>
        <v/>
      </c>
      <c r="D268" s="14" t="n"/>
      <c r="E268" s="14" t="n"/>
      <c r="F268" s="21">
        <f>IF(AND(D268="",E268=""),"",D268*60+E268)</f>
        <v/>
      </c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</row>
    <row r="269">
      <c r="A269" s="14" t="n"/>
      <c r="B269" s="14" t="n"/>
      <c r="C269" s="21">
        <f>IF(B269="","",IFERROR(INDEX(Listas!$E$2:$E$10,MATCH(B269,Listas!$D$2:$D$10,0)),"?"))</f>
        <v/>
      </c>
      <c r="D269" s="14" t="n"/>
      <c r="E269" s="14" t="n"/>
      <c r="F269" s="21">
        <f>IF(AND(D269="",E269=""),"",D269*60+E269)</f>
        <v/>
      </c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</row>
    <row r="270">
      <c r="A270" s="14" t="n"/>
      <c r="B270" s="14" t="n"/>
      <c r="C270" s="21">
        <f>IF(B270="","",IFERROR(INDEX(Listas!$E$2:$E$10,MATCH(B270,Listas!$D$2:$D$10,0)),"?"))</f>
        <v/>
      </c>
      <c r="D270" s="14" t="n"/>
      <c r="E270" s="14" t="n"/>
      <c r="F270" s="21">
        <f>IF(AND(D270="",E270=""),"",D270*60+E270)</f>
        <v/>
      </c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</row>
    <row r="271">
      <c r="A271" s="14" t="n"/>
      <c r="B271" s="14" t="n"/>
      <c r="C271" s="21">
        <f>IF(B271="","",IFERROR(INDEX(Listas!$E$2:$E$10,MATCH(B271,Listas!$D$2:$D$10,0)),"?"))</f>
        <v/>
      </c>
      <c r="D271" s="14" t="n"/>
      <c r="E271" s="14" t="n"/>
      <c r="F271" s="21">
        <f>IF(AND(D271="",E271=""),"",D271*60+E271)</f>
        <v/>
      </c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</row>
    <row r="272">
      <c r="A272" s="14" t="n"/>
      <c r="B272" s="14" t="n"/>
      <c r="C272" s="21">
        <f>IF(B272="","",IFERROR(INDEX(Listas!$E$2:$E$10,MATCH(B272,Listas!$D$2:$D$10,0)),"?"))</f>
        <v/>
      </c>
      <c r="D272" s="14" t="n"/>
      <c r="E272" s="14" t="n"/>
      <c r="F272" s="21">
        <f>IF(AND(D272="",E272=""),"",D272*60+E272)</f>
        <v/>
      </c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</row>
    <row r="273">
      <c r="A273" s="14" t="n"/>
      <c r="B273" s="14" t="n"/>
      <c r="C273" s="21">
        <f>IF(B273="","",IFERROR(INDEX(Listas!$E$2:$E$10,MATCH(B273,Listas!$D$2:$D$10,0)),"?"))</f>
        <v/>
      </c>
      <c r="D273" s="14" t="n"/>
      <c r="E273" s="14" t="n"/>
      <c r="F273" s="21">
        <f>IF(AND(D273="",E273=""),"",D273*60+E273)</f>
        <v/>
      </c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</row>
    <row r="274">
      <c r="A274" s="14" t="n"/>
      <c r="B274" s="14" t="n"/>
      <c r="C274" s="21">
        <f>IF(B274="","",IFERROR(INDEX(Listas!$E$2:$E$10,MATCH(B274,Listas!$D$2:$D$10,0)),"?"))</f>
        <v/>
      </c>
      <c r="D274" s="14" t="n"/>
      <c r="E274" s="14" t="n"/>
      <c r="F274" s="21">
        <f>IF(AND(D274="",E274=""),"",D274*60+E274)</f>
        <v/>
      </c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</row>
    <row r="275">
      <c r="A275" s="14" t="n"/>
      <c r="B275" s="14" t="n"/>
      <c r="C275" s="21">
        <f>IF(B275="","",IFERROR(INDEX(Listas!$E$2:$E$10,MATCH(B275,Listas!$D$2:$D$10,0)),"?"))</f>
        <v/>
      </c>
      <c r="D275" s="14" t="n"/>
      <c r="E275" s="14" t="n"/>
      <c r="F275" s="21">
        <f>IF(AND(D275="",E275=""),"",D275*60+E275)</f>
        <v/>
      </c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</row>
    <row r="276">
      <c r="A276" s="14" t="n"/>
      <c r="B276" s="14" t="n"/>
      <c r="C276" s="21">
        <f>IF(B276="","",IFERROR(INDEX(Listas!$E$2:$E$10,MATCH(B276,Listas!$D$2:$D$10,0)),"?"))</f>
        <v/>
      </c>
      <c r="D276" s="14" t="n"/>
      <c r="E276" s="14" t="n"/>
      <c r="F276" s="21">
        <f>IF(AND(D276="",E276=""),"",D276*60+E276)</f>
        <v/>
      </c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</row>
    <row r="277">
      <c r="A277" s="14" t="n"/>
      <c r="B277" s="14" t="n"/>
      <c r="C277" s="21">
        <f>IF(B277="","",IFERROR(INDEX(Listas!$E$2:$E$10,MATCH(B277,Listas!$D$2:$D$10,0)),"?"))</f>
        <v/>
      </c>
      <c r="D277" s="14" t="n"/>
      <c r="E277" s="14" t="n"/>
      <c r="F277" s="21">
        <f>IF(AND(D277="",E277=""),"",D277*60+E277)</f>
        <v/>
      </c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</row>
    <row r="278">
      <c r="A278" s="14" t="n"/>
      <c r="B278" s="14" t="n"/>
      <c r="C278" s="21">
        <f>IF(B278="","",IFERROR(INDEX(Listas!$E$2:$E$10,MATCH(B278,Listas!$D$2:$D$10,0)),"?"))</f>
        <v/>
      </c>
      <c r="D278" s="14" t="n"/>
      <c r="E278" s="14" t="n"/>
      <c r="F278" s="21">
        <f>IF(AND(D278="",E278=""),"",D278*60+E278)</f>
        <v/>
      </c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</row>
    <row r="279">
      <c r="A279" s="14" t="n"/>
      <c r="B279" s="14" t="n"/>
      <c r="C279" s="21">
        <f>IF(B279="","",IFERROR(INDEX(Listas!$E$2:$E$10,MATCH(B279,Listas!$D$2:$D$10,0)),"?"))</f>
        <v/>
      </c>
      <c r="D279" s="14" t="n"/>
      <c r="E279" s="14" t="n"/>
      <c r="F279" s="21">
        <f>IF(AND(D279="",E279=""),"",D279*60+E279)</f>
        <v/>
      </c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</row>
    <row r="280">
      <c r="A280" s="14" t="n"/>
      <c r="B280" s="14" t="n"/>
      <c r="C280" s="21">
        <f>IF(B280="","",IFERROR(INDEX(Listas!$E$2:$E$10,MATCH(B280,Listas!$D$2:$D$10,0)),"?"))</f>
        <v/>
      </c>
      <c r="D280" s="14" t="n"/>
      <c r="E280" s="14" t="n"/>
      <c r="F280" s="21">
        <f>IF(AND(D280="",E280=""),"",D280*60+E280)</f>
        <v/>
      </c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</row>
    <row r="281">
      <c r="A281" s="14" t="n"/>
      <c r="B281" s="14" t="n"/>
      <c r="C281" s="21">
        <f>IF(B281="","",IFERROR(INDEX(Listas!$E$2:$E$10,MATCH(B281,Listas!$D$2:$D$10,0)),"?"))</f>
        <v/>
      </c>
      <c r="D281" s="14" t="n"/>
      <c r="E281" s="14" t="n"/>
      <c r="F281" s="21">
        <f>IF(AND(D281="",E281=""),"",D281*60+E281)</f>
        <v/>
      </c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</row>
    <row r="282">
      <c r="A282" s="14" t="n"/>
      <c r="B282" s="14" t="n"/>
      <c r="C282" s="21">
        <f>IF(B282="","",IFERROR(INDEX(Listas!$E$2:$E$10,MATCH(B282,Listas!$D$2:$D$10,0)),"?"))</f>
        <v/>
      </c>
      <c r="D282" s="14" t="n"/>
      <c r="E282" s="14" t="n"/>
      <c r="F282" s="21">
        <f>IF(AND(D282="",E282=""),"",D282*60+E282)</f>
        <v/>
      </c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</row>
    <row r="283">
      <c r="A283" s="14" t="n"/>
      <c r="B283" s="14" t="n"/>
      <c r="C283" s="21">
        <f>IF(B283="","",IFERROR(INDEX(Listas!$E$2:$E$10,MATCH(B283,Listas!$D$2:$D$10,0)),"?"))</f>
        <v/>
      </c>
      <c r="D283" s="14" t="n"/>
      <c r="E283" s="14" t="n"/>
      <c r="F283" s="21">
        <f>IF(AND(D283="",E283=""),"",D283*60+E283)</f>
        <v/>
      </c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</row>
    <row r="284">
      <c r="A284" s="14" t="n"/>
      <c r="B284" s="14" t="n"/>
      <c r="C284" s="21">
        <f>IF(B284="","",IFERROR(INDEX(Listas!$E$2:$E$10,MATCH(B284,Listas!$D$2:$D$10,0)),"?"))</f>
        <v/>
      </c>
      <c r="D284" s="14" t="n"/>
      <c r="E284" s="14" t="n"/>
      <c r="F284" s="21">
        <f>IF(AND(D284="",E284=""),"",D284*60+E284)</f>
        <v/>
      </c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</row>
    <row r="285">
      <c r="A285" s="14" t="n"/>
      <c r="B285" s="14" t="n"/>
      <c r="C285" s="21">
        <f>IF(B285="","",IFERROR(INDEX(Listas!$E$2:$E$10,MATCH(B285,Listas!$D$2:$D$10,0)),"?"))</f>
        <v/>
      </c>
      <c r="D285" s="14" t="n"/>
      <c r="E285" s="14" t="n"/>
      <c r="F285" s="21">
        <f>IF(AND(D285="",E285=""),"",D285*60+E285)</f>
        <v/>
      </c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</row>
    <row r="286">
      <c r="A286" s="14" t="n"/>
      <c r="B286" s="14" t="n"/>
      <c r="C286" s="21">
        <f>IF(B286="","",IFERROR(INDEX(Listas!$E$2:$E$10,MATCH(B286,Listas!$D$2:$D$10,0)),"?"))</f>
        <v/>
      </c>
      <c r="D286" s="14" t="n"/>
      <c r="E286" s="14" t="n"/>
      <c r="F286" s="21">
        <f>IF(AND(D286="",E286=""),"",D286*60+E286)</f>
        <v/>
      </c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</row>
    <row r="287">
      <c r="A287" s="14" t="n"/>
      <c r="B287" s="14" t="n"/>
      <c r="C287" s="21">
        <f>IF(B287="","",IFERROR(INDEX(Listas!$E$2:$E$10,MATCH(B287,Listas!$D$2:$D$10,0)),"?"))</f>
        <v/>
      </c>
      <c r="D287" s="14" t="n"/>
      <c r="E287" s="14" t="n"/>
      <c r="F287" s="21">
        <f>IF(AND(D287="",E287=""),"",D287*60+E287)</f>
        <v/>
      </c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</row>
    <row r="288">
      <c r="A288" s="14" t="n"/>
      <c r="B288" s="14" t="n"/>
      <c r="C288" s="21">
        <f>IF(B288="","",IFERROR(INDEX(Listas!$E$2:$E$10,MATCH(B288,Listas!$D$2:$D$10,0)),"?"))</f>
        <v/>
      </c>
      <c r="D288" s="14" t="n"/>
      <c r="E288" s="14" t="n"/>
      <c r="F288" s="21">
        <f>IF(AND(D288="",E288=""),"",D288*60+E288)</f>
        <v/>
      </c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</row>
    <row r="289">
      <c r="A289" s="14" t="n"/>
      <c r="B289" s="14" t="n"/>
      <c r="C289" s="21">
        <f>IF(B289="","",IFERROR(INDEX(Listas!$E$2:$E$10,MATCH(B289,Listas!$D$2:$D$10,0)),"?"))</f>
        <v/>
      </c>
      <c r="D289" s="14" t="n"/>
      <c r="E289" s="14" t="n"/>
      <c r="F289" s="21">
        <f>IF(AND(D289="",E289=""),"",D289*60+E289)</f>
        <v/>
      </c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</row>
    <row r="290">
      <c r="A290" s="14" t="n"/>
      <c r="B290" s="14" t="n"/>
      <c r="C290" s="21">
        <f>IF(B290="","",IFERROR(INDEX(Listas!$E$2:$E$10,MATCH(B290,Listas!$D$2:$D$10,0)),"?"))</f>
        <v/>
      </c>
      <c r="D290" s="14" t="n"/>
      <c r="E290" s="14" t="n"/>
      <c r="F290" s="21">
        <f>IF(AND(D290="",E290=""),"",D290*60+E290)</f>
        <v/>
      </c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</row>
    <row r="291">
      <c r="A291" s="14" t="n"/>
      <c r="B291" s="14" t="n"/>
      <c r="C291" s="21">
        <f>IF(B291="","",IFERROR(INDEX(Listas!$E$2:$E$10,MATCH(B291,Listas!$D$2:$D$10,0)),"?"))</f>
        <v/>
      </c>
      <c r="D291" s="14" t="n"/>
      <c r="E291" s="14" t="n"/>
      <c r="F291" s="21">
        <f>IF(AND(D291="",E291=""),"",D291*60+E291)</f>
        <v/>
      </c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</row>
    <row r="292">
      <c r="A292" s="14" t="n"/>
      <c r="B292" s="14" t="n"/>
      <c r="C292" s="21">
        <f>IF(B292="","",IFERROR(INDEX(Listas!$E$2:$E$10,MATCH(B292,Listas!$D$2:$D$10,0)),"?"))</f>
        <v/>
      </c>
      <c r="D292" s="14" t="n"/>
      <c r="E292" s="14" t="n"/>
      <c r="F292" s="21">
        <f>IF(AND(D292="",E292=""),"",D292*60+E292)</f>
        <v/>
      </c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</row>
    <row r="293">
      <c r="A293" s="14" t="n"/>
      <c r="B293" s="14" t="n"/>
      <c r="C293" s="21">
        <f>IF(B293="","",IFERROR(INDEX(Listas!$E$2:$E$10,MATCH(B293,Listas!$D$2:$D$10,0)),"?"))</f>
        <v/>
      </c>
      <c r="D293" s="14" t="n"/>
      <c r="E293" s="14" t="n"/>
      <c r="F293" s="21">
        <f>IF(AND(D293="",E293=""),"",D293*60+E293)</f>
        <v/>
      </c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</row>
    <row r="294">
      <c r="A294" s="14" t="n"/>
      <c r="B294" s="14" t="n"/>
      <c r="C294" s="21">
        <f>IF(B294="","",IFERROR(INDEX(Listas!$E$2:$E$10,MATCH(B294,Listas!$D$2:$D$10,0)),"?"))</f>
        <v/>
      </c>
      <c r="D294" s="14" t="n"/>
      <c r="E294" s="14" t="n"/>
      <c r="F294" s="21">
        <f>IF(AND(D294="",E294=""),"",D294*60+E294)</f>
        <v/>
      </c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</row>
    <row r="295">
      <c r="A295" s="14" t="n"/>
      <c r="B295" s="14" t="n"/>
      <c r="C295" s="21">
        <f>IF(B295="","",IFERROR(INDEX(Listas!$E$2:$E$10,MATCH(B295,Listas!$D$2:$D$10,0)),"?"))</f>
        <v/>
      </c>
      <c r="D295" s="14" t="n"/>
      <c r="E295" s="14" t="n"/>
      <c r="F295" s="21">
        <f>IF(AND(D295="",E295=""),"",D295*60+E295)</f>
        <v/>
      </c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</row>
    <row r="296">
      <c r="A296" s="14" t="n"/>
      <c r="B296" s="14" t="n"/>
      <c r="C296" s="21">
        <f>IF(B296="","",IFERROR(INDEX(Listas!$E$2:$E$10,MATCH(B296,Listas!$D$2:$D$10,0)),"?"))</f>
        <v/>
      </c>
      <c r="D296" s="14" t="n"/>
      <c r="E296" s="14" t="n"/>
      <c r="F296" s="21">
        <f>IF(AND(D296="",E296=""),"",D296*60+E296)</f>
        <v/>
      </c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</row>
    <row r="297">
      <c r="A297" s="14" t="n"/>
      <c r="B297" s="14" t="n"/>
      <c r="C297" s="21">
        <f>IF(B297="","",IFERROR(INDEX(Listas!$E$2:$E$10,MATCH(B297,Listas!$D$2:$D$10,0)),"?"))</f>
        <v/>
      </c>
      <c r="D297" s="14" t="n"/>
      <c r="E297" s="14" t="n"/>
      <c r="F297" s="21">
        <f>IF(AND(D297="",E297=""),"",D297*60+E297)</f>
        <v/>
      </c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</row>
    <row r="298">
      <c r="A298" s="14" t="n"/>
      <c r="B298" s="14" t="n"/>
      <c r="C298" s="21">
        <f>IF(B298="","",IFERROR(INDEX(Listas!$E$2:$E$10,MATCH(B298,Listas!$D$2:$D$10,0)),"?"))</f>
        <v/>
      </c>
      <c r="D298" s="14" t="n"/>
      <c r="E298" s="14" t="n"/>
      <c r="F298" s="21">
        <f>IF(AND(D298="",E298=""),"",D298*60+E298)</f>
        <v/>
      </c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</row>
    <row r="299">
      <c r="A299" s="14" t="n"/>
      <c r="B299" s="14" t="n"/>
      <c r="C299" s="21">
        <f>IF(B299="","",IFERROR(INDEX(Listas!$E$2:$E$10,MATCH(B299,Listas!$D$2:$D$10,0)),"?"))</f>
        <v/>
      </c>
      <c r="D299" s="14" t="n"/>
      <c r="E299" s="14" t="n"/>
      <c r="F299" s="21">
        <f>IF(AND(D299="",E299=""),"",D299*60+E299)</f>
        <v/>
      </c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</row>
    <row r="300">
      <c r="A300" s="14" t="n"/>
      <c r="B300" s="14" t="n"/>
      <c r="C300" s="21">
        <f>IF(B300="","",IFERROR(INDEX(Listas!$E$2:$E$10,MATCH(B300,Listas!$D$2:$D$10,0)),"?"))</f>
        <v/>
      </c>
      <c r="D300" s="14" t="n"/>
      <c r="E300" s="14" t="n"/>
      <c r="F300" s="21">
        <f>IF(AND(D300="",E300=""),"",D300*60+E300)</f>
        <v/>
      </c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</row>
    <row r="301">
      <c r="A301" s="14" t="n"/>
      <c r="B301" s="14" t="n"/>
      <c r="C301" s="21">
        <f>IF(B301="","",IFERROR(INDEX(Listas!$E$2:$E$10,MATCH(B301,Listas!$D$2:$D$10,0)),"?"))</f>
        <v/>
      </c>
      <c r="D301" s="14" t="n"/>
      <c r="E301" s="14" t="n"/>
      <c r="F301" s="21">
        <f>IF(AND(D301="",E301=""),"",D301*60+E301)</f>
        <v/>
      </c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</row>
    <row r="302">
      <c r="A302" s="14" t="n"/>
      <c r="B302" s="14" t="n"/>
      <c r="C302" s="21">
        <f>IF(B302="","",IFERROR(INDEX(Listas!$E$2:$E$10,MATCH(B302,Listas!$D$2:$D$10,0)),"?"))</f>
        <v/>
      </c>
      <c r="D302" s="14" t="n"/>
      <c r="E302" s="14" t="n"/>
      <c r="F302" s="21">
        <f>IF(AND(D302="",E302=""),"",D302*60+E302)</f>
        <v/>
      </c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</row>
    <row r="303">
      <c r="A303" s="14" t="n"/>
      <c r="B303" s="14" t="n"/>
      <c r="C303" s="21">
        <f>IF(B303="","",IFERROR(INDEX(Listas!$E$2:$E$10,MATCH(B303,Listas!$D$2:$D$10,0)),"?"))</f>
        <v/>
      </c>
      <c r="D303" s="14" t="n"/>
      <c r="E303" s="14" t="n"/>
      <c r="F303" s="21">
        <f>IF(AND(D303="",E303=""),"",D303*60+E303)</f>
        <v/>
      </c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</row>
    <row r="304">
      <c r="A304" s="14" t="n"/>
      <c r="B304" s="14" t="n"/>
      <c r="C304" s="21">
        <f>IF(B304="","",IFERROR(INDEX(Listas!$E$2:$E$10,MATCH(B304,Listas!$D$2:$D$10,0)),"?"))</f>
        <v/>
      </c>
      <c r="D304" s="14" t="n"/>
      <c r="E304" s="14" t="n"/>
      <c r="F304" s="21">
        <f>IF(AND(D304="",E304=""),"",D304*60+E304)</f>
        <v/>
      </c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</row>
    <row r="305">
      <c r="A305" s="14" t="n"/>
      <c r="B305" s="14" t="n"/>
      <c r="C305" s="21">
        <f>IF(B305="","",IFERROR(INDEX(Listas!$E$2:$E$10,MATCH(B305,Listas!$D$2:$D$10,0)),"?"))</f>
        <v/>
      </c>
      <c r="D305" s="14" t="n"/>
      <c r="E305" s="14" t="n"/>
      <c r="F305" s="21">
        <f>IF(AND(D305="",E305=""),"",D305*60+E305)</f>
        <v/>
      </c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</row>
    <row r="306">
      <c r="A306" s="14" t="n"/>
      <c r="B306" s="14" t="n"/>
      <c r="C306" s="21">
        <f>IF(B306="","",IFERROR(INDEX(Listas!$E$2:$E$10,MATCH(B306,Listas!$D$2:$D$10,0)),"?"))</f>
        <v/>
      </c>
      <c r="D306" s="14" t="n"/>
      <c r="E306" s="14" t="n"/>
      <c r="F306" s="21">
        <f>IF(AND(D306="",E306=""),"",D306*60+E306)</f>
        <v/>
      </c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</row>
    <row r="307">
      <c r="A307" s="14" t="n"/>
      <c r="B307" s="14" t="n"/>
      <c r="C307" s="21">
        <f>IF(B307="","",IFERROR(INDEX(Listas!$E$2:$E$10,MATCH(B307,Listas!$D$2:$D$10,0)),"?"))</f>
        <v/>
      </c>
      <c r="D307" s="14" t="n"/>
      <c r="E307" s="14" t="n"/>
      <c r="F307" s="21">
        <f>IF(AND(D307="",E307=""),"",D307*60+E307)</f>
        <v/>
      </c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</row>
    <row r="308">
      <c r="A308" s="14" t="n"/>
      <c r="B308" s="14" t="n"/>
      <c r="C308" s="21">
        <f>IF(B308="","",IFERROR(INDEX(Listas!$E$2:$E$10,MATCH(B308,Listas!$D$2:$D$10,0)),"?"))</f>
        <v/>
      </c>
      <c r="D308" s="14" t="n"/>
      <c r="E308" s="14" t="n"/>
      <c r="F308" s="21">
        <f>IF(AND(D308="",E308=""),"",D308*60+E308)</f>
        <v/>
      </c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</row>
    <row r="309">
      <c r="A309" s="14" t="n"/>
      <c r="B309" s="14" t="n"/>
      <c r="C309" s="21">
        <f>IF(B309="","",IFERROR(INDEX(Listas!$E$2:$E$10,MATCH(B309,Listas!$D$2:$D$10,0)),"?"))</f>
        <v/>
      </c>
      <c r="D309" s="14" t="n"/>
      <c r="E309" s="14" t="n"/>
      <c r="F309" s="21">
        <f>IF(AND(D309="",E309=""),"",D309*60+E309)</f>
        <v/>
      </c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</row>
    <row r="310">
      <c r="A310" s="14" t="n"/>
      <c r="B310" s="14" t="n"/>
      <c r="C310" s="21">
        <f>IF(B310="","",IFERROR(INDEX(Listas!$E$2:$E$10,MATCH(B310,Listas!$D$2:$D$10,0)),"?"))</f>
        <v/>
      </c>
      <c r="D310" s="14" t="n"/>
      <c r="E310" s="14" t="n"/>
      <c r="F310" s="21">
        <f>IF(AND(D310="",E310=""),"",D310*60+E310)</f>
        <v/>
      </c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</row>
    <row r="311">
      <c r="A311" s="14" t="n"/>
      <c r="B311" s="14" t="n"/>
      <c r="C311" s="21">
        <f>IF(B311="","",IFERROR(INDEX(Listas!$E$2:$E$10,MATCH(B311,Listas!$D$2:$D$10,0)),"?"))</f>
        <v/>
      </c>
      <c r="D311" s="14" t="n"/>
      <c r="E311" s="14" t="n"/>
      <c r="F311" s="21">
        <f>IF(AND(D311="",E311=""),"",D311*60+E311)</f>
        <v/>
      </c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</row>
    <row r="312">
      <c r="A312" s="14" t="n"/>
      <c r="B312" s="14" t="n"/>
      <c r="C312" s="21">
        <f>IF(B312="","",IFERROR(INDEX(Listas!$E$2:$E$10,MATCH(B312,Listas!$D$2:$D$10,0)),"?"))</f>
        <v/>
      </c>
      <c r="D312" s="14" t="n"/>
      <c r="E312" s="14" t="n"/>
      <c r="F312" s="21">
        <f>IF(AND(D312="",E312=""),"",D312*60+E312)</f>
        <v/>
      </c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</row>
    <row r="313">
      <c r="A313" s="14" t="n"/>
      <c r="B313" s="14" t="n"/>
      <c r="C313" s="21">
        <f>IF(B313="","",IFERROR(INDEX(Listas!$E$2:$E$10,MATCH(B313,Listas!$D$2:$D$10,0)),"?"))</f>
        <v/>
      </c>
      <c r="D313" s="14" t="n"/>
      <c r="E313" s="14" t="n"/>
      <c r="F313" s="21">
        <f>IF(AND(D313="",E313=""),"",D313*60+E313)</f>
        <v/>
      </c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</row>
    <row r="314">
      <c r="A314" s="14" t="n"/>
      <c r="B314" s="14" t="n"/>
      <c r="C314" s="21">
        <f>IF(B314="","",IFERROR(INDEX(Listas!$E$2:$E$10,MATCH(B314,Listas!$D$2:$D$10,0)),"?"))</f>
        <v/>
      </c>
      <c r="D314" s="14" t="n"/>
      <c r="E314" s="14" t="n"/>
      <c r="F314" s="21">
        <f>IF(AND(D314="",E314=""),"",D314*60+E314)</f>
        <v/>
      </c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</row>
    <row r="315">
      <c r="A315" s="14" t="n"/>
      <c r="B315" s="14" t="n"/>
      <c r="C315" s="21">
        <f>IF(B315="","",IFERROR(INDEX(Listas!$E$2:$E$10,MATCH(B315,Listas!$D$2:$D$10,0)),"?"))</f>
        <v/>
      </c>
      <c r="D315" s="14" t="n"/>
      <c r="E315" s="14" t="n"/>
      <c r="F315" s="21">
        <f>IF(AND(D315="",E315=""),"",D315*60+E315)</f>
        <v/>
      </c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</row>
    <row r="316">
      <c r="A316" s="14" t="n"/>
      <c r="B316" s="14" t="n"/>
      <c r="C316" s="21">
        <f>IF(B316="","",IFERROR(INDEX(Listas!$E$2:$E$10,MATCH(B316,Listas!$D$2:$D$10,0)),"?"))</f>
        <v/>
      </c>
      <c r="D316" s="14" t="n"/>
      <c r="E316" s="14" t="n"/>
      <c r="F316" s="21">
        <f>IF(AND(D316="",E316=""),"",D316*60+E316)</f>
        <v/>
      </c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</row>
    <row r="317">
      <c r="A317" s="14" t="n"/>
      <c r="B317" s="14" t="n"/>
      <c r="C317" s="21">
        <f>IF(B317="","",IFERROR(INDEX(Listas!$E$2:$E$10,MATCH(B317,Listas!$D$2:$D$10,0)),"?"))</f>
        <v/>
      </c>
      <c r="D317" s="14" t="n"/>
      <c r="E317" s="14" t="n"/>
      <c r="F317" s="21">
        <f>IF(AND(D317="",E317=""),"",D317*60+E317)</f>
        <v/>
      </c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</row>
    <row r="318">
      <c r="A318" s="14" t="n"/>
      <c r="B318" s="14" t="n"/>
      <c r="C318" s="21">
        <f>IF(B318="","",IFERROR(INDEX(Listas!$E$2:$E$10,MATCH(B318,Listas!$D$2:$D$10,0)),"?"))</f>
        <v/>
      </c>
      <c r="D318" s="14" t="n"/>
      <c r="E318" s="14" t="n"/>
      <c r="F318" s="21">
        <f>IF(AND(D318="",E318=""),"",D318*60+E318)</f>
        <v/>
      </c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</row>
    <row r="319">
      <c r="A319" s="14" t="n"/>
      <c r="B319" s="14" t="n"/>
      <c r="C319" s="21">
        <f>IF(B319="","",IFERROR(INDEX(Listas!$E$2:$E$10,MATCH(B319,Listas!$D$2:$D$10,0)),"?"))</f>
        <v/>
      </c>
      <c r="D319" s="14" t="n"/>
      <c r="E319" s="14" t="n"/>
      <c r="F319" s="21">
        <f>IF(AND(D319="",E319=""),"",D319*60+E319)</f>
        <v/>
      </c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</row>
    <row r="320">
      <c r="A320" s="14" t="n"/>
      <c r="B320" s="14" t="n"/>
      <c r="C320" s="21">
        <f>IF(B320="","",IFERROR(INDEX(Listas!$E$2:$E$10,MATCH(B320,Listas!$D$2:$D$10,0)),"?"))</f>
        <v/>
      </c>
      <c r="D320" s="14" t="n"/>
      <c r="E320" s="14" t="n"/>
      <c r="F320" s="21">
        <f>IF(AND(D320="",E320=""),"",D320*60+E320)</f>
        <v/>
      </c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</row>
    <row r="321">
      <c r="A321" s="14" t="n"/>
      <c r="B321" s="14" t="n"/>
      <c r="C321" s="21">
        <f>IF(B321="","",IFERROR(INDEX(Listas!$E$2:$E$10,MATCH(B321,Listas!$D$2:$D$10,0)),"?"))</f>
        <v/>
      </c>
      <c r="D321" s="14" t="n"/>
      <c r="E321" s="14" t="n"/>
      <c r="F321" s="21">
        <f>IF(AND(D321="",E321=""),"",D321*60+E321)</f>
        <v/>
      </c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</row>
    <row r="322">
      <c r="A322" s="14" t="n"/>
      <c r="B322" s="14" t="n"/>
      <c r="C322" s="21">
        <f>IF(B322="","",IFERROR(INDEX(Listas!$E$2:$E$10,MATCH(B322,Listas!$D$2:$D$10,0)),"?"))</f>
        <v/>
      </c>
      <c r="D322" s="14" t="n"/>
      <c r="E322" s="14" t="n"/>
      <c r="F322" s="21">
        <f>IF(AND(D322="",E322=""),"",D322*60+E322)</f>
        <v/>
      </c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</row>
    <row r="323">
      <c r="A323" s="14" t="n"/>
      <c r="B323" s="14" t="n"/>
      <c r="C323" s="21">
        <f>IF(B323="","",IFERROR(INDEX(Listas!$E$2:$E$10,MATCH(B323,Listas!$D$2:$D$10,0)),"?"))</f>
        <v/>
      </c>
      <c r="D323" s="14" t="n"/>
      <c r="E323" s="14" t="n"/>
      <c r="F323" s="21">
        <f>IF(AND(D323="",E323=""),"",D323*60+E323)</f>
        <v/>
      </c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</row>
    <row r="324">
      <c r="A324" s="14" t="n"/>
      <c r="B324" s="14" t="n"/>
      <c r="C324" s="21">
        <f>IF(B324="","",IFERROR(INDEX(Listas!$E$2:$E$10,MATCH(B324,Listas!$D$2:$D$10,0)),"?"))</f>
        <v/>
      </c>
      <c r="D324" s="14" t="n"/>
      <c r="E324" s="14" t="n"/>
      <c r="F324" s="21">
        <f>IF(AND(D324="",E324=""),"",D324*60+E324)</f>
        <v/>
      </c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</row>
    <row r="325">
      <c r="A325" s="14" t="n"/>
      <c r="B325" s="14" t="n"/>
      <c r="C325" s="21">
        <f>IF(B325="","",IFERROR(INDEX(Listas!$E$2:$E$10,MATCH(B325,Listas!$D$2:$D$10,0)),"?"))</f>
        <v/>
      </c>
      <c r="D325" s="14" t="n"/>
      <c r="E325" s="14" t="n"/>
      <c r="F325" s="21">
        <f>IF(AND(D325="",E325=""),"",D325*60+E325)</f>
        <v/>
      </c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</row>
    <row r="326">
      <c r="A326" s="14" t="n"/>
      <c r="B326" s="14" t="n"/>
      <c r="C326" s="21">
        <f>IF(B326="","",IFERROR(INDEX(Listas!$E$2:$E$10,MATCH(B326,Listas!$D$2:$D$10,0)),"?"))</f>
        <v/>
      </c>
      <c r="D326" s="14" t="n"/>
      <c r="E326" s="14" t="n"/>
      <c r="F326" s="21">
        <f>IF(AND(D326="",E326=""),"",D326*60+E326)</f>
        <v/>
      </c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</row>
    <row r="327">
      <c r="A327" s="14" t="n"/>
      <c r="B327" s="14" t="n"/>
      <c r="C327" s="21">
        <f>IF(B327="","",IFERROR(INDEX(Listas!$E$2:$E$10,MATCH(B327,Listas!$D$2:$D$10,0)),"?"))</f>
        <v/>
      </c>
      <c r="D327" s="14" t="n"/>
      <c r="E327" s="14" t="n"/>
      <c r="F327" s="21">
        <f>IF(AND(D327="",E327=""),"",D327*60+E327)</f>
        <v/>
      </c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</row>
    <row r="328">
      <c r="A328" s="14" t="n"/>
      <c r="B328" s="14" t="n"/>
      <c r="C328" s="21">
        <f>IF(B328="","",IFERROR(INDEX(Listas!$E$2:$E$10,MATCH(B328,Listas!$D$2:$D$10,0)),"?"))</f>
        <v/>
      </c>
      <c r="D328" s="14" t="n"/>
      <c r="E328" s="14" t="n"/>
      <c r="F328" s="21">
        <f>IF(AND(D328="",E328=""),"",D328*60+E328)</f>
        <v/>
      </c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</row>
    <row r="329">
      <c r="A329" s="14" t="n"/>
      <c r="B329" s="14" t="n"/>
      <c r="C329" s="21">
        <f>IF(B329="","",IFERROR(INDEX(Listas!$E$2:$E$10,MATCH(B329,Listas!$D$2:$D$10,0)),"?"))</f>
        <v/>
      </c>
      <c r="D329" s="14" t="n"/>
      <c r="E329" s="14" t="n"/>
      <c r="F329" s="21">
        <f>IF(AND(D329="",E329=""),"",D329*60+E329)</f>
        <v/>
      </c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</row>
    <row r="330">
      <c r="A330" s="14" t="n"/>
      <c r="B330" s="14" t="n"/>
      <c r="C330" s="21">
        <f>IF(B330="","",IFERROR(INDEX(Listas!$E$2:$E$10,MATCH(B330,Listas!$D$2:$D$10,0)),"?"))</f>
        <v/>
      </c>
      <c r="D330" s="14" t="n"/>
      <c r="E330" s="14" t="n"/>
      <c r="F330" s="21">
        <f>IF(AND(D330="",E330=""),"",D330*60+E330)</f>
        <v/>
      </c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</row>
    <row r="331">
      <c r="A331" s="14" t="n"/>
      <c r="B331" s="14" t="n"/>
      <c r="C331" s="21">
        <f>IF(B331="","",IFERROR(INDEX(Listas!$E$2:$E$10,MATCH(B331,Listas!$D$2:$D$10,0)),"?"))</f>
        <v/>
      </c>
      <c r="D331" s="14" t="n"/>
      <c r="E331" s="14" t="n"/>
      <c r="F331" s="21">
        <f>IF(AND(D331="",E331=""),"",D331*60+E331)</f>
        <v/>
      </c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</row>
    <row r="332">
      <c r="A332" s="14" t="n"/>
      <c r="B332" s="14" t="n"/>
      <c r="C332" s="21">
        <f>IF(B332="","",IFERROR(INDEX(Listas!$E$2:$E$10,MATCH(B332,Listas!$D$2:$D$10,0)),"?"))</f>
        <v/>
      </c>
      <c r="D332" s="14" t="n"/>
      <c r="E332" s="14" t="n"/>
      <c r="F332" s="21">
        <f>IF(AND(D332="",E332=""),"",D332*60+E332)</f>
        <v/>
      </c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</row>
    <row r="333">
      <c r="A333" s="14" t="n"/>
      <c r="B333" s="14" t="n"/>
      <c r="C333" s="21">
        <f>IF(B333="","",IFERROR(INDEX(Listas!$E$2:$E$10,MATCH(B333,Listas!$D$2:$D$10,0)),"?"))</f>
        <v/>
      </c>
      <c r="D333" s="14" t="n"/>
      <c r="E333" s="14" t="n"/>
      <c r="F333" s="21">
        <f>IF(AND(D333="",E333=""),"",D333*60+E333)</f>
        <v/>
      </c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</row>
    <row r="334">
      <c r="A334" s="14" t="n"/>
      <c r="B334" s="14" t="n"/>
      <c r="C334" s="21">
        <f>IF(B334="","",IFERROR(INDEX(Listas!$E$2:$E$10,MATCH(B334,Listas!$D$2:$D$10,0)),"?"))</f>
        <v/>
      </c>
      <c r="D334" s="14" t="n"/>
      <c r="E334" s="14" t="n"/>
      <c r="F334" s="21">
        <f>IF(AND(D334="",E334=""),"",D334*60+E334)</f>
        <v/>
      </c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</row>
    <row r="335">
      <c r="A335" s="14" t="n"/>
      <c r="B335" s="14" t="n"/>
      <c r="C335" s="21">
        <f>IF(B335="","",IFERROR(INDEX(Listas!$E$2:$E$10,MATCH(B335,Listas!$D$2:$D$10,0)),"?"))</f>
        <v/>
      </c>
      <c r="D335" s="14" t="n"/>
      <c r="E335" s="14" t="n"/>
      <c r="F335" s="21">
        <f>IF(AND(D335="",E335=""),"",D335*60+E335)</f>
        <v/>
      </c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</row>
    <row r="336">
      <c r="A336" s="14" t="n"/>
      <c r="B336" s="14" t="n"/>
      <c r="C336" s="21">
        <f>IF(B336="","",IFERROR(INDEX(Listas!$E$2:$E$10,MATCH(B336,Listas!$D$2:$D$10,0)),"?"))</f>
        <v/>
      </c>
      <c r="D336" s="14" t="n"/>
      <c r="E336" s="14" t="n"/>
      <c r="F336" s="21">
        <f>IF(AND(D336="",E336=""),"",D336*60+E336)</f>
        <v/>
      </c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</row>
    <row r="337">
      <c r="A337" s="14" t="n"/>
      <c r="B337" s="14" t="n"/>
      <c r="C337" s="21">
        <f>IF(B337="","",IFERROR(INDEX(Listas!$E$2:$E$10,MATCH(B337,Listas!$D$2:$D$10,0)),"?"))</f>
        <v/>
      </c>
      <c r="D337" s="14" t="n"/>
      <c r="E337" s="14" t="n"/>
      <c r="F337" s="21">
        <f>IF(AND(D337="",E337=""),"",D337*60+E337)</f>
        <v/>
      </c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</row>
    <row r="338">
      <c r="A338" s="14" t="n"/>
      <c r="B338" s="14" t="n"/>
      <c r="C338" s="21">
        <f>IF(B338="","",IFERROR(INDEX(Listas!$E$2:$E$10,MATCH(B338,Listas!$D$2:$D$10,0)),"?"))</f>
        <v/>
      </c>
      <c r="D338" s="14" t="n"/>
      <c r="E338" s="14" t="n"/>
      <c r="F338" s="21">
        <f>IF(AND(D338="",E338=""),"",D338*60+E338)</f>
        <v/>
      </c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</row>
    <row r="339">
      <c r="A339" s="14" t="n"/>
      <c r="B339" s="14" t="n"/>
      <c r="C339" s="21">
        <f>IF(B339="","",IFERROR(INDEX(Listas!$E$2:$E$10,MATCH(B339,Listas!$D$2:$D$10,0)),"?"))</f>
        <v/>
      </c>
      <c r="D339" s="14" t="n"/>
      <c r="E339" s="14" t="n"/>
      <c r="F339" s="21">
        <f>IF(AND(D339="",E339=""),"",D339*60+E339)</f>
        <v/>
      </c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</row>
    <row r="340">
      <c r="A340" s="14" t="n"/>
      <c r="B340" s="14" t="n"/>
      <c r="C340" s="21">
        <f>IF(B340="","",IFERROR(INDEX(Listas!$E$2:$E$10,MATCH(B340,Listas!$D$2:$D$10,0)),"?"))</f>
        <v/>
      </c>
      <c r="D340" s="14" t="n"/>
      <c r="E340" s="14" t="n"/>
      <c r="F340" s="21">
        <f>IF(AND(D340="",E340=""),"",D340*60+E340)</f>
        <v/>
      </c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</row>
    <row r="341">
      <c r="A341" s="14" t="n"/>
      <c r="B341" s="14" t="n"/>
      <c r="C341" s="21">
        <f>IF(B341="","",IFERROR(INDEX(Listas!$E$2:$E$10,MATCH(B341,Listas!$D$2:$D$10,0)),"?"))</f>
        <v/>
      </c>
      <c r="D341" s="14" t="n"/>
      <c r="E341" s="14" t="n"/>
      <c r="F341" s="21">
        <f>IF(AND(D341="",E341=""),"",D341*60+E341)</f>
        <v/>
      </c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</row>
    <row r="342">
      <c r="A342" s="14" t="n"/>
      <c r="B342" s="14" t="n"/>
      <c r="C342" s="21">
        <f>IF(B342="","",IFERROR(INDEX(Listas!$E$2:$E$10,MATCH(B342,Listas!$D$2:$D$10,0)),"?"))</f>
        <v/>
      </c>
      <c r="D342" s="14" t="n"/>
      <c r="E342" s="14" t="n"/>
      <c r="F342" s="21">
        <f>IF(AND(D342="",E342=""),"",D342*60+E342)</f>
        <v/>
      </c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</row>
    <row r="343">
      <c r="A343" s="14" t="n"/>
      <c r="B343" s="14" t="n"/>
      <c r="C343" s="21">
        <f>IF(B343="","",IFERROR(INDEX(Listas!$E$2:$E$10,MATCH(B343,Listas!$D$2:$D$10,0)),"?"))</f>
        <v/>
      </c>
      <c r="D343" s="14" t="n"/>
      <c r="E343" s="14" t="n"/>
      <c r="F343" s="21">
        <f>IF(AND(D343="",E343=""),"",D343*60+E343)</f>
        <v/>
      </c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</row>
    <row r="344">
      <c r="A344" s="14" t="n"/>
      <c r="B344" s="14" t="n"/>
      <c r="C344" s="21">
        <f>IF(B344="","",IFERROR(INDEX(Listas!$E$2:$E$10,MATCH(B344,Listas!$D$2:$D$10,0)),"?"))</f>
        <v/>
      </c>
      <c r="D344" s="14" t="n"/>
      <c r="E344" s="14" t="n"/>
      <c r="F344" s="21">
        <f>IF(AND(D344="",E344=""),"",D344*60+E344)</f>
        <v/>
      </c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</row>
    <row r="345">
      <c r="A345" s="14" t="n"/>
      <c r="B345" s="14" t="n"/>
      <c r="C345" s="21">
        <f>IF(B345="","",IFERROR(INDEX(Listas!$E$2:$E$10,MATCH(B345,Listas!$D$2:$D$10,0)),"?"))</f>
        <v/>
      </c>
      <c r="D345" s="14" t="n"/>
      <c r="E345" s="14" t="n"/>
      <c r="F345" s="21">
        <f>IF(AND(D345="",E345=""),"",D345*60+E345)</f>
        <v/>
      </c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</row>
    <row r="346">
      <c r="A346" s="14" t="n"/>
      <c r="B346" s="14" t="n"/>
      <c r="C346" s="21">
        <f>IF(B346="","",IFERROR(INDEX(Listas!$E$2:$E$10,MATCH(B346,Listas!$D$2:$D$10,0)),"?"))</f>
        <v/>
      </c>
      <c r="D346" s="14" t="n"/>
      <c r="E346" s="14" t="n"/>
      <c r="F346" s="21">
        <f>IF(AND(D346="",E346=""),"",D346*60+E346)</f>
        <v/>
      </c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</row>
    <row r="347">
      <c r="A347" s="14" t="n"/>
      <c r="B347" s="14" t="n"/>
      <c r="C347" s="21">
        <f>IF(B347="","",IFERROR(INDEX(Listas!$E$2:$E$10,MATCH(B347,Listas!$D$2:$D$10,0)),"?"))</f>
        <v/>
      </c>
      <c r="D347" s="14" t="n"/>
      <c r="E347" s="14" t="n"/>
      <c r="F347" s="21">
        <f>IF(AND(D347="",E347=""),"",D347*60+E347)</f>
        <v/>
      </c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</row>
    <row r="348">
      <c r="A348" s="14" t="n"/>
      <c r="B348" s="14" t="n"/>
      <c r="C348" s="21">
        <f>IF(B348="","",IFERROR(INDEX(Listas!$E$2:$E$10,MATCH(B348,Listas!$D$2:$D$10,0)),"?"))</f>
        <v/>
      </c>
      <c r="D348" s="14" t="n"/>
      <c r="E348" s="14" t="n"/>
      <c r="F348" s="21">
        <f>IF(AND(D348="",E348=""),"",D348*60+E348)</f>
        <v/>
      </c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</row>
    <row r="349">
      <c r="A349" s="14" t="n"/>
      <c r="B349" s="14" t="n"/>
      <c r="C349" s="21">
        <f>IF(B349="","",IFERROR(INDEX(Listas!$E$2:$E$10,MATCH(B349,Listas!$D$2:$D$10,0)),"?"))</f>
        <v/>
      </c>
      <c r="D349" s="14" t="n"/>
      <c r="E349" s="14" t="n"/>
      <c r="F349" s="21">
        <f>IF(AND(D349="",E349=""),"",D349*60+E349)</f>
        <v/>
      </c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</row>
    <row r="350">
      <c r="A350" s="14" t="n"/>
      <c r="B350" s="14" t="n"/>
      <c r="C350" s="21">
        <f>IF(B350="","",IFERROR(INDEX(Listas!$E$2:$E$10,MATCH(B350,Listas!$D$2:$D$10,0)),"?"))</f>
        <v/>
      </c>
      <c r="D350" s="14" t="n"/>
      <c r="E350" s="14" t="n"/>
      <c r="F350" s="21">
        <f>IF(AND(D350="",E350=""),"",D350*60+E350)</f>
        <v/>
      </c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</row>
    <row r="351">
      <c r="A351" s="14" t="n"/>
      <c r="B351" s="14" t="n"/>
      <c r="C351" s="21">
        <f>IF(B351="","",IFERROR(INDEX(Listas!$E$2:$E$10,MATCH(B351,Listas!$D$2:$D$10,0)),"?"))</f>
        <v/>
      </c>
      <c r="D351" s="14" t="n"/>
      <c r="E351" s="14" t="n"/>
      <c r="F351" s="21">
        <f>IF(AND(D351="",E351=""),"",D351*60+E351)</f>
        <v/>
      </c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</row>
    <row r="352">
      <c r="A352" s="14" t="n"/>
      <c r="B352" s="14" t="n"/>
      <c r="C352" s="21">
        <f>IF(B352="","",IFERROR(INDEX(Listas!$E$2:$E$10,MATCH(B352,Listas!$D$2:$D$10,0)),"?"))</f>
        <v/>
      </c>
      <c r="D352" s="14" t="n"/>
      <c r="E352" s="14" t="n"/>
      <c r="F352" s="21">
        <f>IF(AND(D352="",E352=""),"",D352*60+E352)</f>
        <v/>
      </c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</row>
    <row r="353">
      <c r="A353" s="14" t="n"/>
      <c r="B353" s="14" t="n"/>
      <c r="C353" s="21">
        <f>IF(B353="","",IFERROR(INDEX(Listas!$E$2:$E$10,MATCH(B353,Listas!$D$2:$D$10,0)),"?"))</f>
        <v/>
      </c>
      <c r="D353" s="14" t="n"/>
      <c r="E353" s="14" t="n"/>
      <c r="F353" s="21">
        <f>IF(AND(D353="",E353=""),"",D353*60+E353)</f>
        <v/>
      </c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</row>
    <row r="354">
      <c r="A354" s="14" t="n"/>
      <c r="B354" s="14" t="n"/>
      <c r="C354" s="21">
        <f>IF(B354="","",IFERROR(INDEX(Listas!$E$2:$E$10,MATCH(B354,Listas!$D$2:$D$10,0)),"?"))</f>
        <v/>
      </c>
      <c r="D354" s="14" t="n"/>
      <c r="E354" s="14" t="n"/>
      <c r="F354" s="21">
        <f>IF(AND(D354="",E354=""),"",D354*60+E354)</f>
        <v/>
      </c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</row>
    <row r="355">
      <c r="A355" s="14" t="n"/>
      <c r="B355" s="14" t="n"/>
      <c r="C355" s="21">
        <f>IF(B355="","",IFERROR(INDEX(Listas!$E$2:$E$10,MATCH(B355,Listas!$D$2:$D$10,0)),"?"))</f>
        <v/>
      </c>
      <c r="D355" s="14" t="n"/>
      <c r="E355" s="14" t="n"/>
      <c r="F355" s="21">
        <f>IF(AND(D355="",E355=""),"",D355*60+E355)</f>
        <v/>
      </c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</row>
    <row r="356">
      <c r="A356" s="14" t="n"/>
      <c r="B356" s="14" t="n"/>
      <c r="C356" s="21">
        <f>IF(B356="","",IFERROR(INDEX(Listas!$E$2:$E$10,MATCH(B356,Listas!$D$2:$D$10,0)),"?"))</f>
        <v/>
      </c>
      <c r="D356" s="14" t="n"/>
      <c r="E356" s="14" t="n"/>
      <c r="F356" s="21">
        <f>IF(AND(D356="",E356=""),"",D356*60+E356)</f>
        <v/>
      </c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</row>
    <row r="357">
      <c r="A357" s="14" t="n"/>
      <c r="B357" s="14" t="n"/>
      <c r="C357" s="21">
        <f>IF(B357="","",IFERROR(INDEX(Listas!$E$2:$E$10,MATCH(B357,Listas!$D$2:$D$10,0)),"?"))</f>
        <v/>
      </c>
      <c r="D357" s="14" t="n"/>
      <c r="E357" s="14" t="n"/>
      <c r="F357" s="21">
        <f>IF(AND(D357="",E357=""),"",D357*60+E357)</f>
        <v/>
      </c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</row>
    <row r="358">
      <c r="A358" s="14" t="n"/>
      <c r="B358" s="14" t="n"/>
      <c r="C358" s="21">
        <f>IF(B358="","",IFERROR(INDEX(Listas!$E$2:$E$10,MATCH(B358,Listas!$D$2:$D$10,0)),"?"))</f>
        <v/>
      </c>
      <c r="D358" s="14" t="n"/>
      <c r="E358" s="14" t="n"/>
      <c r="F358" s="21">
        <f>IF(AND(D358="",E358=""),"",D358*60+E358)</f>
        <v/>
      </c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</row>
    <row r="359">
      <c r="A359" s="14" t="n"/>
      <c r="B359" s="14" t="n"/>
      <c r="C359" s="21">
        <f>IF(B359="","",IFERROR(INDEX(Listas!$E$2:$E$10,MATCH(B359,Listas!$D$2:$D$10,0)),"?"))</f>
        <v/>
      </c>
      <c r="D359" s="14" t="n"/>
      <c r="E359" s="14" t="n"/>
      <c r="F359" s="21">
        <f>IF(AND(D359="",E359=""),"",D359*60+E359)</f>
        <v/>
      </c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</row>
    <row r="360">
      <c r="A360" s="14" t="n"/>
      <c r="B360" s="14" t="n"/>
      <c r="C360" s="21">
        <f>IF(B360="","",IFERROR(INDEX(Listas!$E$2:$E$10,MATCH(B360,Listas!$D$2:$D$10,0)),"?"))</f>
        <v/>
      </c>
      <c r="D360" s="14" t="n"/>
      <c r="E360" s="14" t="n"/>
      <c r="F360" s="21">
        <f>IF(AND(D360="",E360=""),"",D360*60+E360)</f>
        <v/>
      </c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</row>
    <row r="361">
      <c r="A361" s="14" t="n"/>
      <c r="B361" s="14" t="n"/>
      <c r="C361" s="21">
        <f>IF(B361="","",IFERROR(INDEX(Listas!$E$2:$E$10,MATCH(B361,Listas!$D$2:$D$10,0)),"?"))</f>
        <v/>
      </c>
      <c r="D361" s="14" t="n"/>
      <c r="E361" s="14" t="n"/>
      <c r="F361" s="21">
        <f>IF(AND(D361="",E361=""),"",D361*60+E361)</f>
        <v/>
      </c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</row>
    <row r="362">
      <c r="A362" s="14" t="n"/>
      <c r="B362" s="14" t="n"/>
      <c r="C362" s="21">
        <f>IF(B362="","",IFERROR(INDEX(Listas!$E$2:$E$10,MATCH(B362,Listas!$D$2:$D$10,0)),"?"))</f>
        <v/>
      </c>
      <c r="D362" s="14" t="n"/>
      <c r="E362" s="14" t="n"/>
      <c r="F362" s="21">
        <f>IF(AND(D362="",E362=""),"",D362*60+E362)</f>
        <v/>
      </c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</row>
    <row r="363">
      <c r="A363" s="14" t="n"/>
      <c r="B363" s="14" t="n"/>
      <c r="C363" s="21">
        <f>IF(B363="","",IFERROR(INDEX(Listas!$E$2:$E$10,MATCH(B363,Listas!$D$2:$D$10,0)),"?"))</f>
        <v/>
      </c>
      <c r="D363" s="14" t="n"/>
      <c r="E363" s="14" t="n"/>
      <c r="F363" s="21">
        <f>IF(AND(D363="",E363=""),"",D363*60+E363)</f>
        <v/>
      </c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</row>
    <row r="364">
      <c r="A364" s="14" t="n"/>
      <c r="B364" s="14" t="n"/>
      <c r="C364" s="21">
        <f>IF(B364="","",IFERROR(INDEX(Listas!$E$2:$E$10,MATCH(B364,Listas!$D$2:$D$10,0)),"?"))</f>
        <v/>
      </c>
      <c r="D364" s="14" t="n"/>
      <c r="E364" s="14" t="n"/>
      <c r="F364" s="21">
        <f>IF(AND(D364="",E364=""),"",D364*60+E364)</f>
        <v/>
      </c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</row>
    <row r="365">
      <c r="A365" s="14" t="n"/>
      <c r="B365" s="14" t="n"/>
      <c r="C365" s="21">
        <f>IF(B365="","",IFERROR(INDEX(Listas!$E$2:$E$10,MATCH(B365,Listas!$D$2:$D$10,0)),"?"))</f>
        <v/>
      </c>
      <c r="D365" s="14" t="n"/>
      <c r="E365" s="14" t="n"/>
      <c r="F365" s="21">
        <f>IF(AND(D365="",E365=""),"",D365*60+E365)</f>
        <v/>
      </c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</row>
    <row r="366">
      <c r="A366" s="14" t="n"/>
      <c r="B366" s="14" t="n"/>
      <c r="C366" s="21">
        <f>IF(B366="","",IFERROR(INDEX(Listas!$E$2:$E$10,MATCH(B366,Listas!$D$2:$D$10,0)),"?"))</f>
        <v/>
      </c>
      <c r="D366" s="14" t="n"/>
      <c r="E366" s="14" t="n"/>
      <c r="F366" s="21">
        <f>IF(AND(D366="",E366=""),"",D366*60+E366)</f>
        <v/>
      </c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</row>
    <row r="367">
      <c r="A367" s="14" t="n"/>
      <c r="B367" s="14" t="n"/>
      <c r="C367" s="21">
        <f>IF(B367="","",IFERROR(INDEX(Listas!$E$2:$E$10,MATCH(B367,Listas!$D$2:$D$10,0)),"?"))</f>
        <v/>
      </c>
      <c r="D367" s="14" t="n"/>
      <c r="E367" s="14" t="n"/>
      <c r="F367" s="21">
        <f>IF(AND(D367="",E367=""),"",D367*60+E367)</f>
        <v/>
      </c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</row>
    <row r="368">
      <c r="A368" s="14" t="n"/>
      <c r="B368" s="14" t="n"/>
      <c r="C368" s="21">
        <f>IF(B368="","",IFERROR(INDEX(Listas!$E$2:$E$10,MATCH(B368,Listas!$D$2:$D$10,0)),"?"))</f>
        <v/>
      </c>
      <c r="D368" s="14" t="n"/>
      <c r="E368" s="14" t="n"/>
      <c r="F368" s="21">
        <f>IF(AND(D368="",E368=""),"",D368*60+E368)</f>
        <v/>
      </c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</row>
    <row r="369">
      <c r="A369" s="14" t="n"/>
      <c r="B369" s="14" t="n"/>
      <c r="C369" s="21">
        <f>IF(B369="","",IFERROR(INDEX(Listas!$E$2:$E$10,MATCH(B369,Listas!$D$2:$D$10,0)),"?"))</f>
        <v/>
      </c>
      <c r="D369" s="14" t="n"/>
      <c r="E369" s="14" t="n"/>
      <c r="F369" s="21">
        <f>IF(AND(D369="",E369=""),"",D369*60+E369)</f>
        <v/>
      </c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</row>
    <row r="370">
      <c r="A370" s="14" t="n"/>
      <c r="B370" s="14" t="n"/>
      <c r="C370" s="21">
        <f>IF(B370="","",IFERROR(INDEX(Listas!$E$2:$E$10,MATCH(B370,Listas!$D$2:$D$10,0)),"?"))</f>
        <v/>
      </c>
      <c r="D370" s="14" t="n"/>
      <c r="E370" s="14" t="n"/>
      <c r="F370" s="21">
        <f>IF(AND(D370="",E370=""),"",D370*60+E370)</f>
        <v/>
      </c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</row>
    <row r="371">
      <c r="A371" s="14" t="n"/>
      <c r="B371" s="14" t="n"/>
      <c r="C371" s="21">
        <f>IF(B371="","",IFERROR(INDEX(Listas!$E$2:$E$10,MATCH(B371,Listas!$D$2:$D$10,0)),"?"))</f>
        <v/>
      </c>
      <c r="D371" s="14" t="n"/>
      <c r="E371" s="14" t="n"/>
      <c r="F371" s="21">
        <f>IF(AND(D371="",E371=""),"",D371*60+E371)</f>
        <v/>
      </c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</row>
    <row r="372">
      <c r="A372" s="14" t="n"/>
      <c r="B372" s="14" t="n"/>
      <c r="C372" s="21">
        <f>IF(B372="","",IFERROR(INDEX(Listas!$E$2:$E$10,MATCH(B372,Listas!$D$2:$D$10,0)),"?"))</f>
        <v/>
      </c>
      <c r="D372" s="14" t="n"/>
      <c r="E372" s="14" t="n"/>
      <c r="F372" s="21">
        <f>IF(AND(D372="",E372=""),"",D372*60+E372)</f>
        <v/>
      </c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</row>
    <row r="373">
      <c r="A373" s="14" t="n"/>
      <c r="B373" s="14" t="n"/>
      <c r="C373" s="21">
        <f>IF(B373="","",IFERROR(INDEX(Listas!$E$2:$E$10,MATCH(B373,Listas!$D$2:$D$10,0)),"?"))</f>
        <v/>
      </c>
      <c r="D373" s="14" t="n"/>
      <c r="E373" s="14" t="n"/>
      <c r="F373" s="21">
        <f>IF(AND(D373="",E373=""),"",D373*60+E373)</f>
        <v/>
      </c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</row>
    <row r="374">
      <c r="A374" s="14" t="n"/>
      <c r="B374" s="14" t="n"/>
      <c r="C374" s="21">
        <f>IF(B374="","",IFERROR(INDEX(Listas!$E$2:$E$10,MATCH(B374,Listas!$D$2:$D$10,0)),"?"))</f>
        <v/>
      </c>
      <c r="D374" s="14" t="n"/>
      <c r="E374" s="14" t="n"/>
      <c r="F374" s="21">
        <f>IF(AND(D374="",E374=""),"",D374*60+E374)</f>
        <v/>
      </c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</row>
    <row r="375">
      <c r="A375" s="14" t="n"/>
      <c r="B375" s="14" t="n"/>
      <c r="C375" s="21">
        <f>IF(B375="","",IFERROR(INDEX(Listas!$E$2:$E$10,MATCH(B375,Listas!$D$2:$D$10,0)),"?"))</f>
        <v/>
      </c>
      <c r="D375" s="14" t="n"/>
      <c r="E375" s="14" t="n"/>
      <c r="F375" s="21">
        <f>IF(AND(D375="",E375=""),"",D375*60+E375)</f>
        <v/>
      </c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</row>
    <row r="376">
      <c r="A376" s="14" t="n"/>
      <c r="B376" s="14" t="n"/>
      <c r="C376" s="21">
        <f>IF(B376="","",IFERROR(INDEX(Listas!$E$2:$E$10,MATCH(B376,Listas!$D$2:$D$10,0)),"?"))</f>
        <v/>
      </c>
      <c r="D376" s="14" t="n"/>
      <c r="E376" s="14" t="n"/>
      <c r="F376" s="21">
        <f>IF(AND(D376="",E376=""),"",D376*60+E376)</f>
        <v/>
      </c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</row>
    <row r="377">
      <c r="A377" s="14" t="n"/>
      <c r="B377" s="14" t="n"/>
      <c r="C377" s="21">
        <f>IF(B377="","",IFERROR(INDEX(Listas!$E$2:$E$10,MATCH(B377,Listas!$D$2:$D$10,0)),"?"))</f>
        <v/>
      </c>
      <c r="D377" s="14" t="n"/>
      <c r="E377" s="14" t="n"/>
      <c r="F377" s="21">
        <f>IF(AND(D377="",E377=""),"",D377*60+E377)</f>
        <v/>
      </c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</row>
    <row r="378">
      <c r="A378" s="14" t="n"/>
      <c r="B378" s="14" t="n"/>
      <c r="C378" s="21">
        <f>IF(B378="","",IFERROR(INDEX(Listas!$E$2:$E$10,MATCH(B378,Listas!$D$2:$D$10,0)),"?"))</f>
        <v/>
      </c>
      <c r="D378" s="14" t="n"/>
      <c r="E378" s="14" t="n"/>
      <c r="F378" s="21">
        <f>IF(AND(D378="",E378=""),"",D378*60+E378)</f>
        <v/>
      </c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</row>
    <row r="379">
      <c r="A379" s="14" t="n"/>
      <c r="B379" s="14" t="n"/>
      <c r="C379" s="21">
        <f>IF(B379="","",IFERROR(INDEX(Listas!$E$2:$E$10,MATCH(B379,Listas!$D$2:$D$10,0)),"?"))</f>
        <v/>
      </c>
      <c r="D379" s="14" t="n"/>
      <c r="E379" s="14" t="n"/>
      <c r="F379" s="21">
        <f>IF(AND(D379="",E379=""),"",D379*60+E379)</f>
        <v/>
      </c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</row>
    <row r="380">
      <c r="A380" s="14" t="n"/>
      <c r="B380" s="14" t="n"/>
      <c r="C380" s="21">
        <f>IF(B380="","",IFERROR(INDEX(Listas!$E$2:$E$10,MATCH(B380,Listas!$D$2:$D$10,0)),"?"))</f>
        <v/>
      </c>
      <c r="D380" s="14" t="n"/>
      <c r="E380" s="14" t="n"/>
      <c r="F380" s="21">
        <f>IF(AND(D380="",E380=""),"",D380*60+E380)</f>
        <v/>
      </c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</row>
    <row r="381">
      <c r="A381" s="14" t="n"/>
      <c r="B381" s="14" t="n"/>
      <c r="C381" s="21">
        <f>IF(B381="","",IFERROR(INDEX(Listas!$E$2:$E$10,MATCH(B381,Listas!$D$2:$D$10,0)),"?"))</f>
        <v/>
      </c>
      <c r="D381" s="14" t="n"/>
      <c r="E381" s="14" t="n"/>
      <c r="F381" s="21">
        <f>IF(AND(D381="",E381=""),"",D381*60+E381)</f>
        <v/>
      </c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</row>
    <row r="382">
      <c r="A382" s="14" t="n"/>
      <c r="B382" s="14" t="n"/>
      <c r="C382" s="21">
        <f>IF(B382="","",IFERROR(INDEX(Listas!$E$2:$E$10,MATCH(B382,Listas!$D$2:$D$10,0)),"?"))</f>
        <v/>
      </c>
      <c r="D382" s="14" t="n"/>
      <c r="E382" s="14" t="n"/>
      <c r="F382" s="21">
        <f>IF(AND(D382="",E382=""),"",D382*60+E382)</f>
        <v/>
      </c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</row>
    <row r="383">
      <c r="A383" s="14" t="n"/>
      <c r="B383" s="14" t="n"/>
      <c r="C383" s="21">
        <f>IF(B383="","",IFERROR(INDEX(Listas!$E$2:$E$10,MATCH(B383,Listas!$D$2:$D$10,0)),"?"))</f>
        <v/>
      </c>
      <c r="D383" s="14" t="n"/>
      <c r="E383" s="14" t="n"/>
      <c r="F383" s="21">
        <f>IF(AND(D383="",E383=""),"",D383*60+E383)</f>
        <v/>
      </c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</row>
    <row r="384">
      <c r="A384" s="14" t="n"/>
      <c r="B384" s="14" t="n"/>
      <c r="C384" s="21">
        <f>IF(B384="","",IFERROR(INDEX(Listas!$E$2:$E$10,MATCH(B384,Listas!$D$2:$D$10,0)),"?"))</f>
        <v/>
      </c>
      <c r="D384" s="14" t="n"/>
      <c r="E384" s="14" t="n"/>
      <c r="F384" s="21">
        <f>IF(AND(D384="",E384=""),"",D384*60+E384)</f>
        <v/>
      </c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</row>
    <row r="385">
      <c r="A385" s="14" t="n"/>
      <c r="B385" s="14" t="n"/>
      <c r="C385" s="21">
        <f>IF(B385="","",IFERROR(INDEX(Listas!$E$2:$E$10,MATCH(B385,Listas!$D$2:$D$10,0)),"?"))</f>
        <v/>
      </c>
      <c r="D385" s="14" t="n"/>
      <c r="E385" s="14" t="n"/>
      <c r="F385" s="21">
        <f>IF(AND(D385="",E385=""),"",D385*60+E385)</f>
        <v/>
      </c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</row>
    <row r="386">
      <c r="A386" s="14" t="n"/>
      <c r="B386" s="14" t="n"/>
      <c r="C386" s="21">
        <f>IF(B386="","",IFERROR(INDEX(Listas!$E$2:$E$10,MATCH(B386,Listas!$D$2:$D$10,0)),"?"))</f>
        <v/>
      </c>
      <c r="D386" s="14" t="n"/>
      <c r="E386" s="14" t="n"/>
      <c r="F386" s="21">
        <f>IF(AND(D386="",E386=""),"",D386*60+E386)</f>
        <v/>
      </c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</row>
    <row r="387">
      <c r="A387" s="14" t="n"/>
      <c r="B387" s="14" t="n"/>
      <c r="C387" s="21">
        <f>IF(B387="","",IFERROR(INDEX(Listas!$E$2:$E$10,MATCH(B387,Listas!$D$2:$D$10,0)),"?"))</f>
        <v/>
      </c>
      <c r="D387" s="14" t="n"/>
      <c r="E387" s="14" t="n"/>
      <c r="F387" s="21">
        <f>IF(AND(D387="",E387=""),"",D387*60+E387)</f>
        <v/>
      </c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</row>
    <row r="388">
      <c r="A388" s="14" t="n"/>
      <c r="B388" s="14" t="n"/>
      <c r="C388" s="21">
        <f>IF(B388="","",IFERROR(INDEX(Listas!$E$2:$E$10,MATCH(B388,Listas!$D$2:$D$10,0)),"?"))</f>
        <v/>
      </c>
      <c r="D388" s="14" t="n"/>
      <c r="E388" s="14" t="n"/>
      <c r="F388" s="21">
        <f>IF(AND(D388="",E388=""),"",D388*60+E388)</f>
        <v/>
      </c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</row>
    <row r="389">
      <c r="A389" s="14" t="n"/>
      <c r="B389" s="14" t="n"/>
      <c r="C389" s="21">
        <f>IF(B389="","",IFERROR(INDEX(Listas!$E$2:$E$10,MATCH(B389,Listas!$D$2:$D$10,0)),"?"))</f>
        <v/>
      </c>
      <c r="D389" s="14" t="n"/>
      <c r="E389" s="14" t="n"/>
      <c r="F389" s="21">
        <f>IF(AND(D389="",E389=""),"",D389*60+E389)</f>
        <v/>
      </c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</row>
    <row r="390">
      <c r="A390" s="14" t="n"/>
      <c r="B390" s="14" t="n"/>
      <c r="C390" s="21">
        <f>IF(B390="","",IFERROR(INDEX(Listas!$E$2:$E$10,MATCH(B390,Listas!$D$2:$D$10,0)),"?"))</f>
        <v/>
      </c>
      <c r="D390" s="14" t="n"/>
      <c r="E390" s="14" t="n"/>
      <c r="F390" s="21">
        <f>IF(AND(D390="",E390=""),"",D390*60+E390)</f>
        <v/>
      </c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</row>
    <row r="391">
      <c r="A391" s="14" t="n"/>
      <c r="B391" s="14" t="n"/>
      <c r="C391" s="21">
        <f>IF(B391="","",IFERROR(INDEX(Listas!$E$2:$E$10,MATCH(B391,Listas!$D$2:$D$10,0)),"?"))</f>
        <v/>
      </c>
      <c r="D391" s="14" t="n"/>
      <c r="E391" s="14" t="n"/>
      <c r="F391" s="21">
        <f>IF(AND(D391="",E391=""),"",D391*60+E391)</f>
        <v/>
      </c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</row>
    <row r="392">
      <c r="A392" s="14" t="n"/>
      <c r="B392" s="14" t="n"/>
      <c r="C392" s="21">
        <f>IF(B392="","",IFERROR(INDEX(Listas!$E$2:$E$10,MATCH(B392,Listas!$D$2:$D$10,0)),"?"))</f>
        <v/>
      </c>
      <c r="D392" s="14" t="n"/>
      <c r="E392" s="14" t="n"/>
      <c r="F392" s="21">
        <f>IF(AND(D392="",E392=""),"",D392*60+E392)</f>
        <v/>
      </c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</row>
    <row r="393">
      <c r="A393" s="14" t="n"/>
      <c r="B393" s="14" t="n"/>
      <c r="C393" s="21">
        <f>IF(B393="","",IFERROR(INDEX(Listas!$E$2:$E$10,MATCH(B393,Listas!$D$2:$D$10,0)),"?"))</f>
        <v/>
      </c>
      <c r="D393" s="14" t="n"/>
      <c r="E393" s="14" t="n"/>
      <c r="F393" s="21">
        <f>IF(AND(D393="",E393=""),"",D393*60+E393)</f>
        <v/>
      </c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</row>
    <row r="394">
      <c r="A394" s="14" t="n"/>
      <c r="B394" s="14" t="n"/>
      <c r="C394" s="21">
        <f>IF(B394="","",IFERROR(INDEX(Listas!$E$2:$E$10,MATCH(B394,Listas!$D$2:$D$10,0)),"?"))</f>
        <v/>
      </c>
      <c r="D394" s="14" t="n"/>
      <c r="E394" s="14" t="n"/>
      <c r="F394" s="21">
        <f>IF(AND(D394="",E394=""),"",D394*60+E394)</f>
        <v/>
      </c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</row>
    <row r="395">
      <c r="A395" s="14" t="n"/>
      <c r="B395" s="14" t="n"/>
      <c r="C395" s="21">
        <f>IF(B395="","",IFERROR(INDEX(Listas!$E$2:$E$10,MATCH(B395,Listas!$D$2:$D$10,0)),"?"))</f>
        <v/>
      </c>
      <c r="D395" s="14" t="n"/>
      <c r="E395" s="14" t="n"/>
      <c r="F395" s="21">
        <f>IF(AND(D395="",E395=""),"",D395*60+E395)</f>
        <v/>
      </c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</row>
    <row r="396">
      <c r="A396" s="14" t="n"/>
      <c r="B396" s="14" t="n"/>
      <c r="C396" s="21">
        <f>IF(B396="","",IFERROR(INDEX(Listas!$E$2:$E$10,MATCH(B396,Listas!$D$2:$D$10,0)),"?"))</f>
        <v/>
      </c>
      <c r="D396" s="14" t="n"/>
      <c r="E396" s="14" t="n"/>
      <c r="F396" s="21">
        <f>IF(AND(D396="",E396=""),"",D396*60+E396)</f>
        <v/>
      </c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</row>
    <row r="397">
      <c r="A397" s="14" t="n"/>
      <c r="B397" s="14" t="n"/>
      <c r="C397" s="21">
        <f>IF(B397="","",IFERROR(INDEX(Listas!$E$2:$E$10,MATCH(B397,Listas!$D$2:$D$10,0)),"?"))</f>
        <v/>
      </c>
      <c r="D397" s="14" t="n"/>
      <c r="E397" s="14" t="n"/>
      <c r="F397" s="21">
        <f>IF(AND(D397="",E397=""),"",D397*60+E397)</f>
        <v/>
      </c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</row>
    <row r="398">
      <c r="A398" s="14" t="n"/>
      <c r="B398" s="14" t="n"/>
      <c r="C398" s="21">
        <f>IF(B398="","",IFERROR(INDEX(Listas!$E$2:$E$10,MATCH(B398,Listas!$D$2:$D$10,0)),"?"))</f>
        <v/>
      </c>
      <c r="D398" s="14" t="n"/>
      <c r="E398" s="14" t="n"/>
      <c r="F398" s="21">
        <f>IF(AND(D398="",E398=""),"",D398*60+E398)</f>
        <v/>
      </c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</row>
    <row r="399">
      <c r="A399" s="14" t="n"/>
      <c r="B399" s="14" t="n"/>
      <c r="C399" s="21">
        <f>IF(B399="","",IFERROR(INDEX(Listas!$E$2:$E$10,MATCH(B399,Listas!$D$2:$D$10,0)),"?"))</f>
        <v/>
      </c>
      <c r="D399" s="14" t="n"/>
      <c r="E399" s="14" t="n"/>
      <c r="F399" s="21">
        <f>IF(AND(D399="",E399=""),"",D399*60+E399)</f>
        <v/>
      </c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</row>
    <row r="400">
      <c r="A400" s="14" t="n"/>
      <c r="B400" s="14" t="n"/>
      <c r="C400" s="21">
        <f>IF(B400="","",IFERROR(INDEX(Listas!$E$2:$E$10,MATCH(B400,Listas!$D$2:$D$10,0)),"?"))</f>
        <v/>
      </c>
      <c r="D400" s="14" t="n"/>
      <c r="E400" s="14" t="n"/>
      <c r="F400" s="21">
        <f>IF(AND(D400="",E400=""),"",D400*60+E400)</f>
        <v/>
      </c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</row>
    <row r="401">
      <c r="A401" s="14" t="n"/>
      <c r="B401" s="14" t="n"/>
      <c r="C401" s="21">
        <f>IF(B401="","",IFERROR(INDEX(Listas!$E$2:$E$10,MATCH(B401,Listas!$D$2:$D$10,0)),"?"))</f>
        <v/>
      </c>
      <c r="D401" s="14" t="n"/>
      <c r="E401" s="14" t="n"/>
      <c r="F401" s="21">
        <f>IF(AND(D401="",E401=""),"",D401*60+E401)</f>
        <v/>
      </c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</row>
    <row r="402">
      <c r="A402" s="14" t="n"/>
      <c r="B402" s="14" t="n"/>
      <c r="C402" s="21">
        <f>IF(B402="","",IFERROR(INDEX(Listas!$E$2:$E$10,MATCH(B402,Listas!$D$2:$D$10,0)),"?"))</f>
        <v/>
      </c>
      <c r="D402" s="14" t="n"/>
      <c r="E402" s="14" t="n"/>
      <c r="F402" s="21">
        <f>IF(AND(D402="",E402=""),"",D402*60+E402)</f>
        <v/>
      </c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</row>
    <row r="403">
      <c r="A403" s="14" t="n"/>
      <c r="B403" s="14" t="n"/>
      <c r="C403" s="21">
        <f>IF(B403="","",IFERROR(INDEX(Listas!$E$2:$E$10,MATCH(B403,Listas!$D$2:$D$10,0)),"?"))</f>
        <v/>
      </c>
      <c r="D403" s="14" t="n"/>
      <c r="E403" s="14" t="n"/>
      <c r="F403" s="21">
        <f>IF(AND(D403="",E403=""),"",D403*60+E403)</f>
        <v/>
      </c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</row>
    <row r="404">
      <c r="A404" s="14" t="n"/>
      <c r="B404" s="14" t="n"/>
      <c r="C404" s="21">
        <f>IF(B404="","",IFERROR(INDEX(Listas!$E$2:$E$10,MATCH(B404,Listas!$D$2:$D$10,0)),"?"))</f>
        <v/>
      </c>
      <c r="D404" s="14" t="n"/>
      <c r="E404" s="14" t="n"/>
      <c r="F404" s="21">
        <f>IF(AND(D404="",E404=""),"",D404*60+E404)</f>
        <v/>
      </c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</row>
    <row r="405">
      <c r="A405" s="14" t="n"/>
      <c r="B405" s="14" t="n"/>
      <c r="C405" s="21">
        <f>IF(B405="","",IFERROR(INDEX(Listas!$E$2:$E$10,MATCH(B405,Listas!$D$2:$D$10,0)),"?"))</f>
        <v/>
      </c>
      <c r="D405" s="14" t="n"/>
      <c r="E405" s="14" t="n"/>
      <c r="F405" s="21">
        <f>IF(AND(D405="",E405=""),"",D405*60+E405)</f>
        <v/>
      </c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</row>
    <row r="406">
      <c r="A406" s="14" t="n"/>
      <c r="B406" s="14" t="n"/>
      <c r="C406" s="21">
        <f>IF(B406="","",IFERROR(INDEX(Listas!$E$2:$E$10,MATCH(B406,Listas!$D$2:$D$10,0)),"?"))</f>
        <v/>
      </c>
      <c r="D406" s="14" t="n"/>
      <c r="E406" s="14" t="n"/>
      <c r="F406" s="21">
        <f>IF(AND(D406="",E406=""),"",D406*60+E406)</f>
        <v/>
      </c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</row>
    <row r="407">
      <c r="A407" s="14" t="n"/>
      <c r="B407" s="14" t="n"/>
      <c r="C407" s="21">
        <f>IF(B407="","",IFERROR(INDEX(Listas!$E$2:$E$10,MATCH(B407,Listas!$D$2:$D$10,0)),"?"))</f>
        <v/>
      </c>
      <c r="D407" s="14" t="n"/>
      <c r="E407" s="14" t="n"/>
      <c r="F407" s="21">
        <f>IF(AND(D407="",E407=""),"",D407*60+E407)</f>
        <v/>
      </c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</row>
    <row r="408">
      <c r="A408" s="14" t="n"/>
      <c r="B408" s="14" t="n"/>
      <c r="C408" s="21">
        <f>IF(B408="","",IFERROR(INDEX(Listas!$E$2:$E$10,MATCH(B408,Listas!$D$2:$D$10,0)),"?"))</f>
        <v/>
      </c>
      <c r="D408" s="14" t="n"/>
      <c r="E408" s="14" t="n"/>
      <c r="F408" s="21">
        <f>IF(AND(D408="",E408=""),"",D408*60+E408)</f>
        <v/>
      </c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</row>
    <row r="409">
      <c r="A409" s="14" t="n"/>
      <c r="B409" s="14" t="n"/>
      <c r="C409" s="21">
        <f>IF(B409="","",IFERROR(INDEX(Listas!$E$2:$E$10,MATCH(B409,Listas!$D$2:$D$10,0)),"?"))</f>
        <v/>
      </c>
      <c r="D409" s="14" t="n"/>
      <c r="E409" s="14" t="n"/>
      <c r="F409" s="21">
        <f>IF(AND(D409="",E409=""),"",D409*60+E409)</f>
        <v/>
      </c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</row>
    <row r="410">
      <c r="A410" s="14" t="n"/>
      <c r="B410" s="14" t="n"/>
      <c r="C410" s="21">
        <f>IF(B410="","",IFERROR(INDEX(Listas!$E$2:$E$10,MATCH(B410,Listas!$D$2:$D$10,0)),"?"))</f>
        <v/>
      </c>
      <c r="D410" s="14" t="n"/>
      <c r="E410" s="14" t="n"/>
      <c r="F410" s="21">
        <f>IF(AND(D410="",E410=""),"",D410*60+E410)</f>
        <v/>
      </c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</row>
    <row r="411">
      <c r="A411" s="14" t="n"/>
      <c r="B411" s="14" t="n"/>
      <c r="C411" s="21">
        <f>IF(B411="","",IFERROR(INDEX(Listas!$E$2:$E$10,MATCH(B411,Listas!$D$2:$D$10,0)),"?"))</f>
        <v/>
      </c>
      <c r="D411" s="14" t="n"/>
      <c r="E411" s="14" t="n"/>
      <c r="F411" s="21">
        <f>IF(AND(D411="",E411=""),"",D411*60+E411)</f>
        <v/>
      </c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</row>
    <row r="412">
      <c r="A412" s="14" t="n"/>
      <c r="B412" s="14" t="n"/>
      <c r="C412" s="21">
        <f>IF(B412="","",IFERROR(INDEX(Listas!$E$2:$E$10,MATCH(B412,Listas!$D$2:$D$10,0)),"?"))</f>
        <v/>
      </c>
      <c r="D412" s="14" t="n"/>
      <c r="E412" s="14" t="n"/>
      <c r="F412" s="21">
        <f>IF(AND(D412="",E412=""),"",D412*60+E412)</f>
        <v/>
      </c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</row>
    <row r="413">
      <c r="A413" s="14" t="n"/>
      <c r="B413" s="14" t="n"/>
      <c r="C413" s="21">
        <f>IF(B413="","",IFERROR(INDEX(Listas!$E$2:$E$10,MATCH(B413,Listas!$D$2:$D$10,0)),"?"))</f>
        <v/>
      </c>
      <c r="D413" s="14" t="n"/>
      <c r="E413" s="14" t="n"/>
      <c r="F413" s="21">
        <f>IF(AND(D413="",E413=""),"",D413*60+E413)</f>
        <v/>
      </c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</row>
    <row r="414">
      <c r="A414" s="14" t="n"/>
      <c r="B414" s="14" t="n"/>
      <c r="C414" s="21">
        <f>IF(B414="","",IFERROR(INDEX(Listas!$E$2:$E$10,MATCH(B414,Listas!$D$2:$D$10,0)),"?"))</f>
        <v/>
      </c>
      <c r="D414" s="14" t="n"/>
      <c r="E414" s="14" t="n"/>
      <c r="F414" s="21">
        <f>IF(AND(D414="",E414=""),"",D414*60+E414)</f>
        <v/>
      </c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</row>
    <row r="415">
      <c r="A415" s="14" t="n"/>
      <c r="B415" s="14" t="n"/>
      <c r="C415" s="21">
        <f>IF(B415="","",IFERROR(INDEX(Listas!$E$2:$E$10,MATCH(B415,Listas!$D$2:$D$10,0)),"?"))</f>
        <v/>
      </c>
      <c r="D415" s="14" t="n"/>
      <c r="E415" s="14" t="n"/>
      <c r="F415" s="21">
        <f>IF(AND(D415="",E415=""),"",D415*60+E415)</f>
        <v/>
      </c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</row>
    <row r="416">
      <c r="A416" s="14" t="n"/>
      <c r="B416" s="14" t="n"/>
      <c r="C416" s="21">
        <f>IF(B416="","",IFERROR(INDEX(Listas!$E$2:$E$10,MATCH(B416,Listas!$D$2:$D$10,0)),"?"))</f>
        <v/>
      </c>
      <c r="D416" s="14" t="n"/>
      <c r="E416" s="14" t="n"/>
      <c r="F416" s="21">
        <f>IF(AND(D416="",E416=""),"",D416*60+E416)</f>
        <v/>
      </c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</row>
    <row r="417">
      <c r="A417" s="14" t="n"/>
      <c r="B417" s="14" t="n"/>
      <c r="C417" s="21">
        <f>IF(B417="","",IFERROR(INDEX(Listas!$E$2:$E$10,MATCH(B417,Listas!$D$2:$D$10,0)),"?"))</f>
        <v/>
      </c>
      <c r="D417" s="14" t="n"/>
      <c r="E417" s="14" t="n"/>
      <c r="F417" s="21">
        <f>IF(AND(D417="",E417=""),"",D417*60+E417)</f>
        <v/>
      </c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</row>
    <row r="418">
      <c r="A418" s="14" t="n"/>
      <c r="B418" s="14" t="n"/>
      <c r="C418" s="21">
        <f>IF(B418="","",IFERROR(INDEX(Listas!$E$2:$E$10,MATCH(B418,Listas!$D$2:$D$10,0)),"?"))</f>
        <v/>
      </c>
      <c r="D418" s="14" t="n"/>
      <c r="E418" s="14" t="n"/>
      <c r="F418" s="21">
        <f>IF(AND(D418="",E418=""),"",D418*60+E418)</f>
        <v/>
      </c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</row>
    <row r="419">
      <c r="A419" s="14" t="n"/>
      <c r="B419" s="14" t="n"/>
      <c r="C419" s="21">
        <f>IF(B419="","",IFERROR(INDEX(Listas!$E$2:$E$10,MATCH(B419,Listas!$D$2:$D$10,0)),"?"))</f>
        <v/>
      </c>
      <c r="D419" s="14" t="n"/>
      <c r="E419" s="14" t="n"/>
      <c r="F419" s="21">
        <f>IF(AND(D419="",E419=""),"",D419*60+E419)</f>
        <v/>
      </c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</row>
    <row r="420">
      <c r="A420" s="14" t="n"/>
      <c r="B420" s="14" t="n"/>
      <c r="C420" s="21">
        <f>IF(B420="","",IFERROR(INDEX(Listas!$E$2:$E$10,MATCH(B420,Listas!$D$2:$D$10,0)),"?"))</f>
        <v/>
      </c>
      <c r="D420" s="14" t="n"/>
      <c r="E420" s="14" t="n"/>
      <c r="F420" s="21">
        <f>IF(AND(D420="",E420=""),"",D420*60+E420)</f>
        <v/>
      </c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</row>
    <row r="421">
      <c r="A421" s="14" t="n"/>
      <c r="B421" s="14" t="n"/>
      <c r="C421" s="21">
        <f>IF(B421="","",IFERROR(INDEX(Listas!$E$2:$E$10,MATCH(B421,Listas!$D$2:$D$10,0)),"?"))</f>
        <v/>
      </c>
      <c r="D421" s="14" t="n"/>
      <c r="E421" s="14" t="n"/>
      <c r="F421" s="21">
        <f>IF(AND(D421="",E421=""),"",D421*60+E421)</f>
        <v/>
      </c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</row>
    <row r="422">
      <c r="A422" s="14" t="n"/>
      <c r="B422" s="14" t="n"/>
      <c r="C422" s="21">
        <f>IF(B422="","",IFERROR(INDEX(Listas!$E$2:$E$10,MATCH(B422,Listas!$D$2:$D$10,0)),"?"))</f>
        <v/>
      </c>
      <c r="D422" s="14" t="n"/>
      <c r="E422" s="14" t="n"/>
      <c r="F422" s="21">
        <f>IF(AND(D422="",E422=""),"",D422*60+E422)</f>
        <v/>
      </c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</row>
    <row r="423">
      <c r="A423" s="14" t="n"/>
      <c r="B423" s="14" t="n"/>
      <c r="C423" s="21">
        <f>IF(B423="","",IFERROR(INDEX(Listas!$E$2:$E$10,MATCH(B423,Listas!$D$2:$D$10,0)),"?"))</f>
        <v/>
      </c>
      <c r="D423" s="14" t="n"/>
      <c r="E423" s="14" t="n"/>
      <c r="F423" s="21">
        <f>IF(AND(D423="",E423=""),"",D423*60+E423)</f>
        <v/>
      </c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</row>
    <row r="424">
      <c r="A424" s="14" t="n"/>
      <c r="B424" s="14" t="n"/>
      <c r="C424" s="21">
        <f>IF(B424="","",IFERROR(INDEX(Listas!$E$2:$E$10,MATCH(B424,Listas!$D$2:$D$10,0)),"?"))</f>
        <v/>
      </c>
      <c r="D424" s="14" t="n"/>
      <c r="E424" s="14" t="n"/>
      <c r="F424" s="21">
        <f>IF(AND(D424="",E424=""),"",D424*60+E424)</f>
        <v/>
      </c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</row>
    <row r="425">
      <c r="A425" s="14" t="n"/>
      <c r="B425" s="14" t="n"/>
      <c r="C425" s="21">
        <f>IF(B425="","",IFERROR(INDEX(Listas!$E$2:$E$10,MATCH(B425,Listas!$D$2:$D$10,0)),"?"))</f>
        <v/>
      </c>
      <c r="D425" s="14" t="n"/>
      <c r="E425" s="14" t="n"/>
      <c r="F425" s="21">
        <f>IF(AND(D425="",E425=""),"",D425*60+E425)</f>
        <v/>
      </c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</row>
    <row r="426">
      <c r="A426" s="14" t="n"/>
      <c r="B426" s="14" t="n"/>
      <c r="C426" s="21">
        <f>IF(B426="","",IFERROR(INDEX(Listas!$E$2:$E$10,MATCH(B426,Listas!$D$2:$D$10,0)),"?"))</f>
        <v/>
      </c>
      <c r="D426" s="14" t="n"/>
      <c r="E426" s="14" t="n"/>
      <c r="F426" s="21">
        <f>IF(AND(D426="",E426=""),"",D426*60+E426)</f>
        <v/>
      </c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</row>
    <row r="427">
      <c r="A427" s="14" t="n"/>
      <c r="B427" s="14" t="n"/>
      <c r="C427" s="21">
        <f>IF(B427="","",IFERROR(INDEX(Listas!$E$2:$E$10,MATCH(B427,Listas!$D$2:$D$10,0)),"?"))</f>
        <v/>
      </c>
      <c r="D427" s="14" t="n"/>
      <c r="E427" s="14" t="n"/>
      <c r="F427" s="21">
        <f>IF(AND(D427="",E427=""),"",D427*60+E427)</f>
        <v/>
      </c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</row>
    <row r="428">
      <c r="A428" s="14" t="n"/>
      <c r="B428" s="14" t="n"/>
      <c r="C428" s="21">
        <f>IF(B428="","",IFERROR(INDEX(Listas!$E$2:$E$10,MATCH(B428,Listas!$D$2:$D$10,0)),"?"))</f>
        <v/>
      </c>
      <c r="D428" s="14" t="n"/>
      <c r="E428" s="14" t="n"/>
      <c r="F428" s="21">
        <f>IF(AND(D428="",E428=""),"",D428*60+E428)</f>
        <v/>
      </c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</row>
    <row r="429">
      <c r="A429" s="14" t="n"/>
      <c r="B429" s="14" t="n"/>
      <c r="C429" s="21">
        <f>IF(B429="","",IFERROR(INDEX(Listas!$E$2:$E$10,MATCH(B429,Listas!$D$2:$D$10,0)),"?"))</f>
        <v/>
      </c>
      <c r="D429" s="14" t="n"/>
      <c r="E429" s="14" t="n"/>
      <c r="F429" s="21">
        <f>IF(AND(D429="",E429=""),"",D429*60+E429)</f>
        <v/>
      </c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</row>
    <row r="430">
      <c r="A430" s="14" t="n"/>
      <c r="B430" s="14" t="n"/>
      <c r="C430" s="21">
        <f>IF(B430="","",IFERROR(INDEX(Listas!$E$2:$E$10,MATCH(B430,Listas!$D$2:$D$10,0)),"?"))</f>
        <v/>
      </c>
      <c r="D430" s="14" t="n"/>
      <c r="E430" s="14" t="n"/>
      <c r="F430" s="21">
        <f>IF(AND(D430="",E430=""),"",D430*60+E430)</f>
        <v/>
      </c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</row>
    <row r="431">
      <c r="A431" s="14" t="n"/>
      <c r="B431" s="14" t="n"/>
      <c r="C431" s="21">
        <f>IF(B431="","",IFERROR(INDEX(Listas!$E$2:$E$10,MATCH(B431,Listas!$D$2:$D$10,0)),"?"))</f>
        <v/>
      </c>
      <c r="D431" s="14" t="n"/>
      <c r="E431" s="14" t="n"/>
      <c r="F431" s="21">
        <f>IF(AND(D431="",E431=""),"",D431*60+E431)</f>
        <v/>
      </c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</row>
    <row r="432">
      <c r="A432" s="14" t="n"/>
      <c r="B432" s="14" t="n"/>
      <c r="C432" s="21">
        <f>IF(B432="","",IFERROR(INDEX(Listas!$E$2:$E$10,MATCH(B432,Listas!$D$2:$D$10,0)),"?"))</f>
        <v/>
      </c>
      <c r="D432" s="14" t="n"/>
      <c r="E432" s="14" t="n"/>
      <c r="F432" s="21">
        <f>IF(AND(D432="",E432=""),"",D432*60+E432)</f>
        <v/>
      </c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</row>
    <row r="433">
      <c r="A433" s="14" t="n"/>
      <c r="B433" s="14" t="n"/>
      <c r="C433" s="21">
        <f>IF(B433="","",IFERROR(INDEX(Listas!$E$2:$E$10,MATCH(B433,Listas!$D$2:$D$10,0)),"?"))</f>
        <v/>
      </c>
      <c r="D433" s="14" t="n"/>
      <c r="E433" s="14" t="n"/>
      <c r="F433" s="21">
        <f>IF(AND(D433="",E433=""),"",D433*60+E433)</f>
        <v/>
      </c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</row>
    <row r="434">
      <c r="A434" s="14" t="n"/>
      <c r="B434" s="14" t="n"/>
      <c r="C434" s="21">
        <f>IF(B434="","",IFERROR(INDEX(Listas!$E$2:$E$10,MATCH(B434,Listas!$D$2:$D$10,0)),"?"))</f>
        <v/>
      </c>
      <c r="D434" s="14" t="n"/>
      <c r="E434" s="14" t="n"/>
      <c r="F434" s="21">
        <f>IF(AND(D434="",E434=""),"",D434*60+E434)</f>
        <v/>
      </c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</row>
    <row r="435">
      <c r="A435" s="14" t="n"/>
      <c r="B435" s="14" t="n"/>
      <c r="C435" s="21">
        <f>IF(B435="","",IFERROR(INDEX(Listas!$E$2:$E$10,MATCH(B435,Listas!$D$2:$D$10,0)),"?"))</f>
        <v/>
      </c>
      <c r="D435" s="14" t="n"/>
      <c r="E435" s="14" t="n"/>
      <c r="F435" s="21">
        <f>IF(AND(D435="",E435=""),"",D435*60+E435)</f>
        <v/>
      </c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</row>
    <row r="436">
      <c r="A436" s="14" t="n"/>
      <c r="B436" s="14" t="n"/>
      <c r="C436" s="21">
        <f>IF(B436="","",IFERROR(INDEX(Listas!$E$2:$E$10,MATCH(B436,Listas!$D$2:$D$10,0)),"?"))</f>
        <v/>
      </c>
      <c r="D436" s="14" t="n"/>
      <c r="E436" s="14" t="n"/>
      <c r="F436" s="21">
        <f>IF(AND(D436="",E436=""),"",D436*60+E436)</f>
        <v/>
      </c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</row>
    <row r="437">
      <c r="A437" s="14" t="n"/>
      <c r="B437" s="14" t="n"/>
      <c r="C437" s="21">
        <f>IF(B437="","",IFERROR(INDEX(Listas!$E$2:$E$10,MATCH(B437,Listas!$D$2:$D$10,0)),"?"))</f>
        <v/>
      </c>
      <c r="D437" s="14" t="n"/>
      <c r="E437" s="14" t="n"/>
      <c r="F437" s="21">
        <f>IF(AND(D437="",E437=""),"",D437*60+E437)</f>
        <v/>
      </c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</row>
    <row r="438">
      <c r="A438" s="14" t="n"/>
      <c r="B438" s="14" t="n"/>
      <c r="C438" s="21">
        <f>IF(B438="","",IFERROR(INDEX(Listas!$E$2:$E$10,MATCH(B438,Listas!$D$2:$D$10,0)),"?"))</f>
        <v/>
      </c>
      <c r="D438" s="14" t="n"/>
      <c r="E438" s="14" t="n"/>
      <c r="F438" s="21">
        <f>IF(AND(D438="",E438=""),"",D438*60+E438)</f>
        <v/>
      </c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</row>
    <row r="439">
      <c r="A439" s="14" t="n"/>
      <c r="B439" s="14" t="n"/>
      <c r="C439" s="21">
        <f>IF(B439="","",IFERROR(INDEX(Listas!$E$2:$E$10,MATCH(B439,Listas!$D$2:$D$10,0)),"?"))</f>
        <v/>
      </c>
      <c r="D439" s="14" t="n"/>
      <c r="E439" s="14" t="n"/>
      <c r="F439" s="21">
        <f>IF(AND(D439="",E439=""),"",D439*60+E439)</f>
        <v/>
      </c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</row>
    <row r="440">
      <c r="A440" s="14" t="n"/>
      <c r="B440" s="14" t="n"/>
      <c r="C440" s="21">
        <f>IF(B440="","",IFERROR(INDEX(Listas!$E$2:$E$10,MATCH(B440,Listas!$D$2:$D$10,0)),"?"))</f>
        <v/>
      </c>
      <c r="D440" s="14" t="n"/>
      <c r="E440" s="14" t="n"/>
      <c r="F440" s="21">
        <f>IF(AND(D440="",E440=""),"",D440*60+E440)</f>
        <v/>
      </c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</row>
    <row r="441">
      <c r="A441" s="14" t="n"/>
      <c r="B441" s="14" t="n"/>
      <c r="C441" s="21">
        <f>IF(B441="","",IFERROR(INDEX(Listas!$E$2:$E$10,MATCH(B441,Listas!$D$2:$D$10,0)),"?"))</f>
        <v/>
      </c>
      <c r="D441" s="14" t="n"/>
      <c r="E441" s="14" t="n"/>
      <c r="F441" s="21">
        <f>IF(AND(D441="",E441=""),"",D441*60+E441)</f>
        <v/>
      </c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</row>
    <row r="442">
      <c r="A442" s="14" t="n"/>
      <c r="B442" s="14" t="n"/>
      <c r="C442" s="21">
        <f>IF(B442="","",IFERROR(INDEX(Listas!$E$2:$E$10,MATCH(B442,Listas!$D$2:$D$10,0)),"?"))</f>
        <v/>
      </c>
      <c r="D442" s="14" t="n"/>
      <c r="E442" s="14" t="n"/>
      <c r="F442" s="21">
        <f>IF(AND(D442="",E442=""),"",D442*60+E442)</f>
        <v/>
      </c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</row>
    <row r="443">
      <c r="A443" s="14" t="n"/>
      <c r="B443" s="14" t="n"/>
      <c r="C443" s="21">
        <f>IF(B443="","",IFERROR(INDEX(Listas!$E$2:$E$10,MATCH(B443,Listas!$D$2:$D$10,0)),"?"))</f>
        <v/>
      </c>
      <c r="D443" s="14" t="n"/>
      <c r="E443" s="14" t="n"/>
      <c r="F443" s="21">
        <f>IF(AND(D443="",E443=""),"",D443*60+E443)</f>
        <v/>
      </c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</row>
    <row r="444">
      <c r="A444" s="14" t="n"/>
      <c r="B444" s="14" t="n"/>
      <c r="C444" s="21">
        <f>IF(B444="","",IFERROR(INDEX(Listas!$E$2:$E$10,MATCH(B444,Listas!$D$2:$D$10,0)),"?"))</f>
        <v/>
      </c>
      <c r="D444" s="14" t="n"/>
      <c r="E444" s="14" t="n"/>
      <c r="F444" s="21">
        <f>IF(AND(D444="",E444=""),"",D444*60+E444)</f>
        <v/>
      </c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</row>
    <row r="445">
      <c r="A445" s="14" t="n"/>
      <c r="B445" s="14" t="n"/>
      <c r="C445" s="21">
        <f>IF(B445="","",IFERROR(INDEX(Listas!$E$2:$E$10,MATCH(B445,Listas!$D$2:$D$10,0)),"?"))</f>
        <v/>
      </c>
      <c r="D445" s="14" t="n"/>
      <c r="E445" s="14" t="n"/>
      <c r="F445" s="21">
        <f>IF(AND(D445="",E445=""),"",D445*60+E445)</f>
        <v/>
      </c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</row>
    <row r="446">
      <c r="A446" s="14" t="n"/>
      <c r="B446" s="14" t="n"/>
      <c r="C446" s="21">
        <f>IF(B446="","",IFERROR(INDEX(Listas!$E$2:$E$10,MATCH(B446,Listas!$D$2:$D$10,0)),"?"))</f>
        <v/>
      </c>
      <c r="D446" s="14" t="n"/>
      <c r="E446" s="14" t="n"/>
      <c r="F446" s="21">
        <f>IF(AND(D446="",E446=""),"",D446*60+E446)</f>
        <v/>
      </c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</row>
    <row r="447">
      <c r="A447" s="14" t="n"/>
      <c r="B447" s="14" t="n"/>
      <c r="C447" s="21">
        <f>IF(B447="","",IFERROR(INDEX(Listas!$E$2:$E$10,MATCH(B447,Listas!$D$2:$D$10,0)),"?"))</f>
        <v/>
      </c>
      <c r="D447" s="14" t="n"/>
      <c r="E447" s="14" t="n"/>
      <c r="F447" s="21">
        <f>IF(AND(D447="",E447=""),"",D447*60+E447)</f>
        <v/>
      </c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</row>
    <row r="448">
      <c r="A448" s="14" t="n"/>
      <c r="B448" s="14" t="n"/>
      <c r="C448" s="21">
        <f>IF(B448="","",IFERROR(INDEX(Listas!$E$2:$E$10,MATCH(B448,Listas!$D$2:$D$10,0)),"?"))</f>
        <v/>
      </c>
      <c r="D448" s="14" t="n"/>
      <c r="E448" s="14" t="n"/>
      <c r="F448" s="21">
        <f>IF(AND(D448="",E448=""),"",D448*60+E448)</f>
        <v/>
      </c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</row>
    <row r="449">
      <c r="A449" s="14" t="n"/>
      <c r="B449" s="14" t="n"/>
      <c r="C449" s="21">
        <f>IF(B449="","",IFERROR(INDEX(Listas!$E$2:$E$10,MATCH(B449,Listas!$D$2:$D$10,0)),"?"))</f>
        <v/>
      </c>
      <c r="D449" s="14" t="n"/>
      <c r="E449" s="14" t="n"/>
      <c r="F449" s="21">
        <f>IF(AND(D449="",E449=""),"",D449*60+E449)</f>
        <v/>
      </c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</row>
    <row r="450">
      <c r="A450" s="14" t="n"/>
      <c r="B450" s="14" t="n"/>
      <c r="C450" s="21">
        <f>IF(B450="","",IFERROR(INDEX(Listas!$E$2:$E$10,MATCH(B450,Listas!$D$2:$D$10,0)),"?"))</f>
        <v/>
      </c>
      <c r="D450" s="14" t="n"/>
      <c r="E450" s="14" t="n"/>
      <c r="F450" s="21">
        <f>IF(AND(D450="",E450=""),"",D450*60+E450)</f>
        <v/>
      </c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</row>
    <row r="451">
      <c r="A451" s="14" t="n"/>
      <c r="B451" s="14" t="n"/>
      <c r="C451" s="21">
        <f>IF(B451="","",IFERROR(INDEX(Listas!$E$2:$E$10,MATCH(B451,Listas!$D$2:$D$10,0)),"?"))</f>
        <v/>
      </c>
      <c r="D451" s="14" t="n"/>
      <c r="E451" s="14" t="n"/>
      <c r="F451" s="21">
        <f>IF(AND(D451="",E451=""),"",D451*60+E451)</f>
        <v/>
      </c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</row>
    <row r="452">
      <c r="A452" s="14" t="n"/>
      <c r="B452" s="14" t="n"/>
      <c r="C452" s="21">
        <f>IF(B452="","",IFERROR(INDEX(Listas!$E$2:$E$10,MATCH(B452,Listas!$D$2:$D$10,0)),"?"))</f>
        <v/>
      </c>
      <c r="D452" s="14" t="n"/>
      <c r="E452" s="14" t="n"/>
      <c r="F452" s="21">
        <f>IF(AND(D452="",E452=""),"",D452*60+E452)</f>
        <v/>
      </c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</row>
    <row r="453">
      <c r="A453" s="14" t="n"/>
      <c r="B453" s="14" t="n"/>
      <c r="C453" s="21">
        <f>IF(B453="","",IFERROR(INDEX(Listas!$E$2:$E$10,MATCH(B453,Listas!$D$2:$D$10,0)),"?"))</f>
        <v/>
      </c>
      <c r="D453" s="14" t="n"/>
      <c r="E453" s="14" t="n"/>
      <c r="F453" s="21">
        <f>IF(AND(D453="",E453=""),"",D453*60+E453)</f>
        <v/>
      </c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</row>
    <row r="454">
      <c r="A454" s="14" t="n"/>
      <c r="B454" s="14" t="n"/>
      <c r="C454" s="21">
        <f>IF(B454="","",IFERROR(INDEX(Listas!$E$2:$E$10,MATCH(B454,Listas!$D$2:$D$10,0)),"?"))</f>
        <v/>
      </c>
      <c r="D454" s="14" t="n"/>
      <c r="E454" s="14" t="n"/>
      <c r="F454" s="21">
        <f>IF(AND(D454="",E454=""),"",D454*60+E454)</f>
        <v/>
      </c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</row>
    <row r="455">
      <c r="A455" s="14" t="n"/>
      <c r="B455" s="14" t="n"/>
      <c r="C455" s="21">
        <f>IF(B455="","",IFERROR(INDEX(Listas!$E$2:$E$10,MATCH(B455,Listas!$D$2:$D$10,0)),"?"))</f>
        <v/>
      </c>
      <c r="D455" s="14" t="n"/>
      <c r="E455" s="14" t="n"/>
      <c r="F455" s="21">
        <f>IF(AND(D455="",E455=""),"",D455*60+E455)</f>
        <v/>
      </c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</row>
    <row r="456">
      <c r="A456" s="14" t="n"/>
      <c r="B456" s="14" t="n"/>
      <c r="C456" s="21">
        <f>IF(B456="","",IFERROR(INDEX(Listas!$E$2:$E$10,MATCH(B456,Listas!$D$2:$D$10,0)),"?"))</f>
        <v/>
      </c>
      <c r="D456" s="14" t="n"/>
      <c r="E456" s="14" t="n"/>
      <c r="F456" s="21">
        <f>IF(AND(D456="",E456=""),"",D456*60+E456)</f>
        <v/>
      </c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</row>
    <row r="457">
      <c r="A457" s="14" t="n"/>
      <c r="B457" s="14" t="n"/>
      <c r="C457" s="21">
        <f>IF(B457="","",IFERROR(INDEX(Listas!$E$2:$E$10,MATCH(B457,Listas!$D$2:$D$10,0)),"?"))</f>
        <v/>
      </c>
      <c r="D457" s="14" t="n"/>
      <c r="E457" s="14" t="n"/>
      <c r="F457" s="21">
        <f>IF(AND(D457="",E457=""),"",D457*60+E457)</f>
        <v/>
      </c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</row>
    <row r="458">
      <c r="A458" s="14" t="n"/>
      <c r="B458" s="14" t="n"/>
      <c r="C458" s="21">
        <f>IF(B458="","",IFERROR(INDEX(Listas!$E$2:$E$10,MATCH(B458,Listas!$D$2:$D$10,0)),"?"))</f>
        <v/>
      </c>
      <c r="D458" s="14" t="n"/>
      <c r="E458" s="14" t="n"/>
      <c r="F458" s="21">
        <f>IF(AND(D458="",E458=""),"",D458*60+E458)</f>
        <v/>
      </c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</row>
    <row r="459">
      <c r="A459" s="14" t="n"/>
      <c r="B459" s="14" t="n"/>
      <c r="C459" s="21">
        <f>IF(B459="","",IFERROR(INDEX(Listas!$E$2:$E$10,MATCH(B459,Listas!$D$2:$D$10,0)),"?"))</f>
        <v/>
      </c>
      <c r="D459" s="14" t="n"/>
      <c r="E459" s="14" t="n"/>
      <c r="F459" s="21">
        <f>IF(AND(D459="",E459=""),"",D459*60+E459)</f>
        <v/>
      </c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</row>
    <row r="460">
      <c r="A460" s="14" t="n"/>
      <c r="B460" s="14" t="n"/>
      <c r="C460" s="21">
        <f>IF(B460="","",IFERROR(INDEX(Listas!$E$2:$E$10,MATCH(B460,Listas!$D$2:$D$10,0)),"?"))</f>
        <v/>
      </c>
      <c r="D460" s="14" t="n"/>
      <c r="E460" s="14" t="n"/>
      <c r="F460" s="21">
        <f>IF(AND(D460="",E460=""),"",D460*60+E460)</f>
        <v/>
      </c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</row>
    <row r="461">
      <c r="A461" s="14" t="n"/>
      <c r="B461" s="14" t="n"/>
      <c r="C461" s="21">
        <f>IF(B461="","",IFERROR(INDEX(Listas!$E$2:$E$10,MATCH(B461,Listas!$D$2:$D$10,0)),"?"))</f>
        <v/>
      </c>
      <c r="D461" s="14" t="n"/>
      <c r="E461" s="14" t="n"/>
      <c r="F461" s="21">
        <f>IF(AND(D461="",E461=""),"",D461*60+E461)</f>
        <v/>
      </c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</row>
    <row r="462">
      <c r="A462" s="14" t="n"/>
      <c r="B462" s="14" t="n"/>
      <c r="C462" s="21">
        <f>IF(B462="","",IFERROR(INDEX(Listas!$E$2:$E$10,MATCH(B462,Listas!$D$2:$D$10,0)),"?"))</f>
        <v/>
      </c>
      <c r="D462" s="14" t="n"/>
      <c r="E462" s="14" t="n"/>
      <c r="F462" s="21">
        <f>IF(AND(D462="",E462=""),"",D462*60+E462)</f>
        <v/>
      </c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</row>
    <row r="463">
      <c r="A463" s="14" t="n"/>
      <c r="B463" s="14" t="n"/>
      <c r="C463" s="21">
        <f>IF(B463="","",IFERROR(INDEX(Listas!$E$2:$E$10,MATCH(B463,Listas!$D$2:$D$10,0)),"?"))</f>
        <v/>
      </c>
      <c r="D463" s="14" t="n"/>
      <c r="E463" s="14" t="n"/>
      <c r="F463" s="21">
        <f>IF(AND(D463="",E463=""),"",D463*60+E463)</f>
        <v/>
      </c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</row>
    <row r="464">
      <c r="A464" s="14" t="n"/>
      <c r="B464" s="14" t="n"/>
      <c r="C464" s="21">
        <f>IF(B464="","",IFERROR(INDEX(Listas!$E$2:$E$10,MATCH(B464,Listas!$D$2:$D$10,0)),"?"))</f>
        <v/>
      </c>
      <c r="D464" s="14" t="n"/>
      <c r="E464" s="14" t="n"/>
      <c r="F464" s="21">
        <f>IF(AND(D464="",E464=""),"",D464*60+E464)</f>
        <v/>
      </c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</row>
    <row r="465">
      <c r="A465" s="14" t="n"/>
      <c r="B465" s="14" t="n"/>
      <c r="C465" s="21">
        <f>IF(B465="","",IFERROR(INDEX(Listas!$E$2:$E$10,MATCH(B465,Listas!$D$2:$D$10,0)),"?"))</f>
        <v/>
      </c>
      <c r="D465" s="14" t="n"/>
      <c r="E465" s="14" t="n"/>
      <c r="F465" s="21">
        <f>IF(AND(D465="",E465=""),"",D465*60+E465)</f>
        <v/>
      </c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</row>
    <row r="466">
      <c r="A466" s="14" t="n"/>
      <c r="B466" s="14" t="n"/>
      <c r="C466" s="21">
        <f>IF(B466="","",IFERROR(INDEX(Listas!$E$2:$E$10,MATCH(B466,Listas!$D$2:$D$10,0)),"?"))</f>
        <v/>
      </c>
      <c r="D466" s="14" t="n"/>
      <c r="E466" s="14" t="n"/>
      <c r="F466" s="21">
        <f>IF(AND(D466="",E466=""),"",D466*60+E466)</f>
        <v/>
      </c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</row>
    <row r="467">
      <c r="A467" s="14" t="n"/>
      <c r="B467" s="14" t="n"/>
      <c r="C467" s="21">
        <f>IF(B467="","",IFERROR(INDEX(Listas!$E$2:$E$10,MATCH(B467,Listas!$D$2:$D$10,0)),"?"))</f>
        <v/>
      </c>
      <c r="D467" s="14" t="n"/>
      <c r="E467" s="14" t="n"/>
      <c r="F467" s="21">
        <f>IF(AND(D467="",E467=""),"",D467*60+E467)</f>
        <v/>
      </c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</row>
    <row r="468">
      <c r="A468" s="14" t="n"/>
      <c r="B468" s="14" t="n"/>
      <c r="C468" s="21">
        <f>IF(B468="","",IFERROR(INDEX(Listas!$E$2:$E$10,MATCH(B468,Listas!$D$2:$D$10,0)),"?"))</f>
        <v/>
      </c>
      <c r="D468" s="14" t="n"/>
      <c r="E468" s="14" t="n"/>
      <c r="F468" s="21">
        <f>IF(AND(D468="",E468=""),"",D468*60+E468)</f>
        <v/>
      </c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</row>
    <row r="469">
      <c r="A469" s="14" t="n"/>
      <c r="B469" s="14" t="n"/>
      <c r="C469" s="21">
        <f>IF(B469="","",IFERROR(INDEX(Listas!$E$2:$E$10,MATCH(B469,Listas!$D$2:$D$10,0)),"?"))</f>
        <v/>
      </c>
      <c r="D469" s="14" t="n"/>
      <c r="E469" s="14" t="n"/>
      <c r="F469" s="21">
        <f>IF(AND(D469="",E469=""),"",D469*60+E469)</f>
        <v/>
      </c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</row>
    <row r="470">
      <c r="A470" s="14" t="n"/>
      <c r="B470" s="14" t="n"/>
      <c r="C470" s="21">
        <f>IF(B470="","",IFERROR(INDEX(Listas!$E$2:$E$10,MATCH(B470,Listas!$D$2:$D$10,0)),"?"))</f>
        <v/>
      </c>
      <c r="D470" s="14" t="n"/>
      <c r="E470" s="14" t="n"/>
      <c r="F470" s="21">
        <f>IF(AND(D470="",E470=""),"",D470*60+E470)</f>
        <v/>
      </c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</row>
    <row r="471">
      <c r="A471" s="14" t="n"/>
      <c r="B471" s="14" t="n"/>
      <c r="C471" s="21">
        <f>IF(B471="","",IFERROR(INDEX(Listas!$E$2:$E$10,MATCH(B471,Listas!$D$2:$D$10,0)),"?"))</f>
        <v/>
      </c>
      <c r="D471" s="14" t="n"/>
      <c r="E471" s="14" t="n"/>
      <c r="F471" s="21">
        <f>IF(AND(D471="",E471=""),"",D471*60+E471)</f>
        <v/>
      </c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</row>
    <row r="472">
      <c r="A472" s="14" t="n"/>
      <c r="B472" s="14" t="n"/>
      <c r="C472" s="21">
        <f>IF(B472="","",IFERROR(INDEX(Listas!$E$2:$E$10,MATCH(B472,Listas!$D$2:$D$10,0)),"?"))</f>
        <v/>
      </c>
      <c r="D472" s="14" t="n"/>
      <c r="E472" s="14" t="n"/>
      <c r="F472" s="21">
        <f>IF(AND(D472="",E472=""),"",D472*60+E472)</f>
        <v/>
      </c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</row>
    <row r="473">
      <c r="A473" s="14" t="n"/>
      <c r="B473" s="14" t="n"/>
      <c r="C473" s="21">
        <f>IF(B473="","",IFERROR(INDEX(Listas!$E$2:$E$10,MATCH(B473,Listas!$D$2:$D$10,0)),"?"))</f>
        <v/>
      </c>
      <c r="D473" s="14" t="n"/>
      <c r="E473" s="14" t="n"/>
      <c r="F473" s="21">
        <f>IF(AND(D473="",E473=""),"",D473*60+E473)</f>
        <v/>
      </c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</row>
    <row r="474">
      <c r="A474" s="14" t="n"/>
      <c r="B474" s="14" t="n"/>
      <c r="C474" s="21">
        <f>IF(B474="","",IFERROR(INDEX(Listas!$E$2:$E$10,MATCH(B474,Listas!$D$2:$D$10,0)),"?"))</f>
        <v/>
      </c>
      <c r="D474" s="14" t="n"/>
      <c r="E474" s="14" t="n"/>
      <c r="F474" s="21">
        <f>IF(AND(D474="",E474=""),"",D474*60+E474)</f>
        <v/>
      </c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</row>
    <row r="475">
      <c r="A475" s="14" t="n"/>
      <c r="B475" s="14" t="n"/>
      <c r="C475" s="21">
        <f>IF(B475="","",IFERROR(INDEX(Listas!$E$2:$E$10,MATCH(B475,Listas!$D$2:$D$10,0)),"?"))</f>
        <v/>
      </c>
      <c r="D475" s="14" t="n"/>
      <c r="E475" s="14" t="n"/>
      <c r="F475" s="21">
        <f>IF(AND(D475="",E475=""),"",D475*60+E475)</f>
        <v/>
      </c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</row>
    <row r="476">
      <c r="A476" s="14" t="n"/>
      <c r="B476" s="14" t="n"/>
      <c r="C476" s="21">
        <f>IF(B476="","",IFERROR(INDEX(Listas!$E$2:$E$10,MATCH(B476,Listas!$D$2:$D$10,0)),"?"))</f>
        <v/>
      </c>
      <c r="D476" s="14" t="n"/>
      <c r="E476" s="14" t="n"/>
      <c r="F476" s="21">
        <f>IF(AND(D476="",E476=""),"",D476*60+E476)</f>
        <v/>
      </c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</row>
    <row r="477">
      <c r="A477" s="14" t="n"/>
      <c r="B477" s="14" t="n"/>
      <c r="C477" s="21">
        <f>IF(B477="","",IFERROR(INDEX(Listas!$E$2:$E$10,MATCH(B477,Listas!$D$2:$D$10,0)),"?"))</f>
        <v/>
      </c>
      <c r="D477" s="14" t="n"/>
      <c r="E477" s="14" t="n"/>
      <c r="F477" s="21">
        <f>IF(AND(D477="",E477=""),"",D477*60+E477)</f>
        <v/>
      </c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</row>
    <row r="478">
      <c r="A478" s="14" t="n"/>
      <c r="B478" s="14" t="n"/>
      <c r="C478" s="21">
        <f>IF(B478="","",IFERROR(INDEX(Listas!$E$2:$E$10,MATCH(B478,Listas!$D$2:$D$10,0)),"?"))</f>
        <v/>
      </c>
      <c r="D478" s="14" t="n"/>
      <c r="E478" s="14" t="n"/>
      <c r="F478" s="21">
        <f>IF(AND(D478="",E478=""),"",D478*60+E478)</f>
        <v/>
      </c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</row>
    <row r="479">
      <c r="A479" s="14" t="n"/>
      <c r="B479" s="14" t="n"/>
      <c r="C479" s="21">
        <f>IF(B479="","",IFERROR(INDEX(Listas!$E$2:$E$10,MATCH(B479,Listas!$D$2:$D$10,0)),"?"))</f>
        <v/>
      </c>
      <c r="D479" s="14" t="n"/>
      <c r="E479" s="14" t="n"/>
      <c r="F479" s="21">
        <f>IF(AND(D479="",E479=""),"",D479*60+E479)</f>
        <v/>
      </c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</row>
    <row r="480">
      <c r="A480" s="14" t="n"/>
      <c r="B480" s="14" t="n"/>
      <c r="C480" s="21">
        <f>IF(B480="","",IFERROR(INDEX(Listas!$E$2:$E$10,MATCH(B480,Listas!$D$2:$D$10,0)),"?"))</f>
        <v/>
      </c>
      <c r="D480" s="14" t="n"/>
      <c r="E480" s="14" t="n"/>
      <c r="F480" s="21">
        <f>IF(AND(D480="",E480=""),"",D480*60+E480)</f>
        <v/>
      </c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</row>
    <row r="481">
      <c r="A481" s="14" t="n"/>
      <c r="B481" s="14" t="n"/>
      <c r="C481" s="21">
        <f>IF(B481="","",IFERROR(INDEX(Listas!$E$2:$E$10,MATCH(B481,Listas!$D$2:$D$10,0)),"?"))</f>
        <v/>
      </c>
      <c r="D481" s="14" t="n"/>
      <c r="E481" s="14" t="n"/>
      <c r="F481" s="21">
        <f>IF(AND(D481="",E481=""),"",D481*60+E481)</f>
        <v/>
      </c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</row>
    <row r="482">
      <c r="A482" s="14" t="n"/>
      <c r="B482" s="14" t="n"/>
      <c r="C482" s="21">
        <f>IF(B482="","",IFERROR(INDEX(Listas!$E$2:$E$10,MATCH(B482,Listas!$D$2:$D$10,0)),"?"))</f>
        <v/>
      </c>
      <c r="D482" s="14" t="n"/>
      <c r="E482" s="14" t="n"/>
      <c r="F482" s="21">
        <f>IF(AND(D482="",E482=""),"",D482*60+E482)</f>
        <v/>
      </c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</row>
    <row r="483">
      <c r="A483" s="14" t="n"/>
      <c r="B483" s="14" t="n"/>
      <c r="C483" s="21">
        <f>IF(B483="","",IFERROR(INDEX(Listas!$E$2:$E$10,MATCH(B483,Listas!$D$2:$D$10,0)),"?"))</f>
        <v/>
      </c>
      <c r="D483" s="14" t="n"/>
      <c r="E483" s="14" t="n"/>
      <c r="F483" s="21">
        <f>IF(AND(D483="",E483=""),"",D483*60+E483)</f>
        <v/>
      </c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</row>
    <row r="484">
      <c r="A484" s="14" t="n"/>
      <c r="B484" s="14" t="n"/>
      <c r="C484" s="21">
        <f>IF(B484="","",IFERROR(INDEX(Listas!$E$2:$E$10,MATCH(B484,Listas!$D$2:$D$10,0)),"?"))</f>
        <v/>
      </c>
      <c r="D484" s="14" t="n"/>
      <c r="E484" s="14" t="n"/>
      <c r="F484" s="21">
        <f>IF(AND(D484="",E484=""),"",D484*60+E484)</f>
        <v/>
      </c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</row>
    <row r="485">
      <c r="A485" s="14" t="n"/>
      <c r="B485" s="14" t="n"/>
      <c r="C485" s="21">
        <f>IF(B485="","",IFERROR(INDEX(Listas!$E$2:$E$10,MATCH(B485,Listas!$D$2:$D$10,0)),"?"))</f>
        <v/>
      </c>
      <c r="D485" s="14" t="n"/>
      <c r="E485" s="14" t="n"/>
      <c r="F485" s="21">
        <f>IF(AND(D485="",E485=""),"",D485*60+E485)</f>
        <v/>
      </c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</row>
    <row r="486">
      <c r="A486" s="14" t="n"/>
      <c r="B486" s="14" t="n"/>
      <c r="C486" s="21">
        <f>IF(B486="","",IFERROR(INDEX(Listas!$E$2:$E$10,MATCH(B486,Listas!$D$2:$D$10,0)),"?"))</f>
        <v/>
      </c>
      <c r="D486" s="14" t="n"/>
      <c r="E486" s="14" t="n"/>
      <c r="F486" s="21">
        <f>IF(AND(D486="",E486=""),"",D486*60+E486)</f>
        <v/>
      </c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</row>
    <row r="487">
      <c r="A487" s="14" t="n"/>
      <c r="B487" s="14" t="n"/>
      <c r="C487" s="21">
        <f>IF(B487="","",IFERROR(INDEX(Listas!$E$2:$E$10,MATCH(B487,Listas!$D$2:$D$10,0)),"?"))</f>
        <v/>
      </c>
      <c r="D487" s="14" t="n"/>
      <c r="E487" s="14" t="n"/>
      <c r="F487" s="21">
        <f>IF(AND(D487="",E487=""),"",D487*60+E487)</f>
        <v/>
      </c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</row>
    <row r="488">
      <c r="A488" s="14" t="n"/>
      <c r="B488" s="14" t="n"/>
      <c r="C488" s="21">
        <f>IF(B488="","",IFERROR(INDEX(Listas!$E$2:$E$10,MATCH(B488,Listas!$D$2:$D$10,0)),"?"))</f>
        <v/>
      </c>
      <c r="D488" s="14" t="n"/>
      <c r="E488" s="14" t="n"/>
      <c r="F488" s="21">
        <f>IF(AND(D488="",E488=""),"",D488*60+E488)</f>
        <v/>
      </c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</row>
    <row r="489">
      <c r="A489" s="14" t="n"/>
      <c r="B489" s="14" t="n"/>
      <c r="C489" s="21">
        <f>IF(B489="","",IFERROR(INDEX(Listas!$E$2:$E$10,MATCH(B489,Listas!$D$2:$D$10,0)),"?"))</f>
        <v/>
      </c>
      <c r="D489" s="14" t="n"/>
      <c r="E489" s="14" t="n"/>
      <c r="F489" s="21">
        <f>IF(AND(D489="",E489=""),"",D489*60+E489)</f>
        <v/>
      </c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</row>
    <row r="490">
      <c r="A490" s="14" t="n"/>
      <c r="B490" s="14" t="n"/>
      <c r="C490" s="21">
        <f>IF(B490="","",IFERROR(INDEX(Listas!$E$2:$E$10,MATCH(B490,Listas!$D$2:$D$10,0)),"?"))</f>
        <v/>
      </c>
      <c r="D490" s="14" t="n"/>
      <c r="E490" s="14" t="n"/>
      <c r="F490" s="21">
        <f>IF(AND(D490="",E490=""),"",D490*60+E490)</f>
        <v/>
      </c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</row>
    <row r="491">
      <c r="A491" s="14" t="n"/>
      <c r="B491" s="14" t="n"/>
      <c r="C491" s="21">
        <f>IF(B491="","",IFERROR(INDEX(Listas!$E$2:$E$10,MATCH(B491,Listas!$D$2:$D$10,0)),"?"))</f>
        <v/>
      </c>
      <c r="D491" s="14" t="n"/>
      <c r="E491" s="14" t="n"/>
      <c r="F491" s="21">
        <f>IF(AND(D491="",E491=""),"",D491*60+E491)</f>
        <v/>
      </c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</row>
    <row r="492">
      <c r="A492" s="14" t="n"/>
      <c r="B492" s="14" t="n"/>
      <c r="C492" s="21">
        <f>IF(B492="","",IFERROR(INDEX(Listas!$E$2:$E$10,MATCH(B492,Listas!$D$2:$D$10,0)),"?"))</f>
        <v/>
      </c>
      <c r="D492" s="14" t="n"/>
      <c r="E492" s="14" t="n"/>
      <c r="F492" s="21">
        <f>IF(AND(D492="",E492=""),"",D492*60+E492)</f>
        <v/>
      </c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</row>
    <row r="493">
      <c r="A493" s="14" t="n"/>
      <c r="B493" s="14" t="n"/>
      <c r="C493" s="21">
        <f>IF(B493="","",IFERROR(INDEX(Listas!$E$2:$E$10,MATCH(B493,Listas!$D$2:$D$10,0)),"?"))</f>
        <v/>
      </c>
      <c r="D493" s="14" t="n"/>
      <c r="E493" s="14" t="n"/>
      <c r="F493" s="21">
        <f>IF(AND(D493="",E493=""),"",D493*60+E493)</f>
        <v/>
      </c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</row>
    <row r="494">
      <c r="A494" s="14" t="n"/>
      <c r="B494" s="14" t="n"/>
      <c r="C494" s="21">
        <f>IF(B494="","",IFERROR(INDEX(Listas!$E$2:$E$10,MATCH(B494,Listas!$D$2:$D$10,0)),"?"))</f>
        <v/>
      </c>
      <c r="D494" s="14" t="n"/>
      <c r="E494" s="14" t="n"/>
      <c r="F494" s="21">
        <f>IF(AND(D494="",E494=""),"",D494*60+E494)</f>
        <v/>
      </c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</row>
    <row r="495">
      <c r="A495" s="14" t="n"/>
      <c r="B495" s="14" t="n"/>
      <c r="C495" s="21">
        <f>IF(B495="","",IFERROR(INDEX(Listas!$E$2:$E$10,MATCH(B495,Listas!$D$2:$D$10,0)),"?"))</f>
        <v/>
      </c>
      <c r="D495" s="14" t="n"/>
      <c r="E495" s="14" t="n"/>
      <c r="F495" s="21">
        <f>IF(AND(D495="",E495=""),"",D495*60+E495)</f>
        <v/>
      </c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</row>
    <row r="496">
      <c r="A496" s="14" t="n"/>
      <c r="B496" s="14" t="n"/>
      <c r="C496" s="21">
        <f>IF(B496="","",IFERROR(INDEX(Listas!$E$2:$E$10,MATCH(B496,Listas!$D$2:$D$10,0)),"?"))</f>
        <v/>
      </c>
      <c r="D496" s="14" t="n"/>
      <c r="E496" s="14" t="n"/>
      <c r="F496" s="21">
        <f>IF(AND(D496="",E496=""),"",D496*60+E496)</f>
        <v/>
      </c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</row>
    <row r="497">
      <c r="A497" s="14" t="n"/>
      <c r="B497" s="14" t="n"/>
      <c r="C497" s="21">
        <f>IF(B497="","",IFERROR(INDEX(Listas!$E$2:$E$10,MATCH(B497,Listas!$D$2:$D$10,0)),"?"))</f>
        <v/>
      </c>
      <c r="D497" s="14" t="n"/>
      <c r="E497" s="14" t="n"/>
      <c r="F497" s="21">
        <f>IF(AND(D497="",E497=""),"",D497*60+E497)</f>
        <v/>
      </c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</row>
    <row r="498">
      <c r="A498" s="14" t="n"/>
      <c r="B498" s="14" t="n"/>
      <c r="C498" s="21">
        <f>IF(B498="","",IFERROR(INDEX(Listas!$E$2:$E$10,MATCH(B498,Listas!$D$2:$D$10,0)),"?"))</f>
        <v/>
      </c>
      <c r="D498" s="14" t="n"/>
      <c r="E498" s="14" t="n"/>
      <c r="F498" s="21">
        <f>IF(AND(D498="",E498=""),"",D498*60+E498)</f>
        <v/>
      </c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</row>
    <row r="499">
      <c r="A499" s="14" t="n"/>
      <c r="B499" s="14" t="n"/>
      <c r="C499" s="21">
        <f>IF(B499="","",IFERROR(INDEX(Listas!$E$2:$E$10,MATCH(B499,Listas!$D$2:$D$10,0)),"?"))</f>
        <v/>
      </c>
      <c r="D499" s="14" t="n"/>
      <c r="E499" s="14" t="n"/>
      <c r="F499" s="21">
        <f>IF(AND(D499="",E499=""),"",D499*60+E499)</f>
        <v/>
      </c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</row>
    <row r="500">
      <c r="A500" s="14" t="n"/>
      <c r="B500" s="14" t="n"/>
      <c r="C500" s="21">
        <f>IF(B500="","",IFERROR(INDEX(Listas!$E$2:$E$10,MATCH(B500,Listas!$D$2:$D$10,0)),"?"))</f>
        <v/>
      </c>
      <c r="D500" s="14" t="n"/>
      <c r="E500" s="14" t="n"/>
      <c r="F500" s="21">
        <f>IF(AND(D500="",E500=""),"",D500*60+E500)</f>
        <v/>
      </c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</row>
    <row r="501">
      <c r="A501" s="14" t="n"/>
      <c r="B501" s="14" t="n"/>
      <c r="C501" s="21">
        <f>IF(B501="","",IFERROR(INDEX(Listas!$E$2:$E$10,MATCH(B501,Listas!$D$2:$D$10,0)),"?"))</f>
        <v/>
      </c>
      <c r="D501" s="14" t="n"/>
      <c r="E501" s="14" t="n"/>
      <c r="F501" s="21">
        <f>IF(AND(D501="",E501=""),"",D501*60+E501)</f>
        <v/>
      </c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</row>
    <row r="502">
      <c r="A502" s="14" t="n"/>
      <c r="B502" s="14" t="n"/>
      <c r="C502" s="21">
        <f>IF(B502="","",IFERROR(INDEX(Listas!$E$2:$E$10,MATCH(B502,Listas!$D$2:$D$10,0)),"?"))</f>
        <v/>
      </c>
      <c r="D502" s="14" t="n"/>
      <c r="E502" s="14" t="n"/>
      <c r="F502" s="21">
        <f>IF(AND(D502="",E502=""),"",D502*60+E502)</f>
        <v/>
      </c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</row>
    <row r="503">
      <c r="A503" s="14" t="n"/>
      <c r="B503" s="14" t="n"/>
      <c r="C503" s="21">
        <f>IF(B503="","",IFERROR(INDEX(Listas!$E$2:$E$10,MATCH(B503,Listas!$D$2:$D$10,0)),"?"))</f>
        <v/>
      </c>
      <c r="D503" s="14" t="n"/>
      <c r="E503" s="14" t="n"/>
      <c r="F503" s="21">
        <f>IF(AND(D503="",E503=""),"",D503*60+E503)</f>
        <v/>
      </c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</row>
    <row r="504">
      <c r="A504" s="14" t="n"/>
      <c r="B504" s="14" t="n"/>
      <c r="C504" s="21">
        <f>IF(B504="","",IFERROR(INDEX(Listas!$E$2:$E$10,MATCH(B504,Listas!$D$2:$D$10,0)),"?"))</f>
        <v/>
      </c>
      <c r="D504" s="14" t="n"/>
      <c r="E504" s="14" t="n"/>
      <c r="F504" s="21">
        <f>IF(AND(D504="",E504=""),"",D504*60+E504)</f>
        <v/>
      </c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</row>
    <row r="505">
      <c r="A505" s="14" t="n"/>
      <c r="B505" s="14" t="n"/>
      <c r="C505" s="21">
        <f>IF(B505="","",IFERROR(INDEX(Listas!$E$2:$E$10,MATCH(B505,Listas!$D$2:$D$10,0)),"?"))</f>
        <v/>
      </c>
      <c r="D505" s="14" t="n"/>
      <c r="E505" s="14" t="n"/>
      <c r="F505" s="21">
        <f>IF(AND(D505="",E505=""),"",D505*60+E505)</f>
        <v/>
      </c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</row>
    <row r="506">
      <c r="A506" s="14" t="n"/>
      <c r="B506" s="14" t="n"/>
      <c r="C506" s="21">
        <f>IF(B506="","",IFERROR(INDEX(Listas!$E$2:$E$10,MATCH(B506,Listas!$D$2:$D$10,0)),"?"))</f>
        <v/>
      </c>
      <c r="D506" s="14" t="n"/>
      <c r="E506" s="14" t="n"/>
      <c r="F506" s="21">
        <f>IF(AND(D506="",E506=""),"",D506*60+E506)</f>
        <v/>
      </c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</row>
    <row r="507">
      <c r="A507" s="14" t="n"/>
      <c r="B507" s="14" t="n"/>
      <c r="C507" s="21">
        <f>IF(B507="","",IFERROR(INDEX(Listas!$E$2:$E$10,MATCH(B507,Listas!$D$2:$D$10,0)),"?"))</f>
        <v/>
      </c>
      <c r="D507" s="14" t="n"/>
      <c r="E507" s="14" t="n"/>
      <c r="F507" s="21">
        <f>IF(AND(D507="",E507=""),"",D507*60+E507)</f>
        <v/>
      </c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</row>
    <row r="508">
      <c r="A508" s="14" t="n"/>
      <c r="B508" s="14" t="n"/>
      <c r="C508" s="21">
        <f>IF(B508="","",IFERROR(INDEX(Listas!$E$2:$E$10,MATCH(B508,Listas!$D$2:$D$10,0)),"?"))</f>
        <v/>
      </c>
      <c r="D508" s="14" t="n"/>
      <c r="E508" s="14" t="n"/>
      <c r="F508" s="21">
        <f>IF(AND(D508="",E508=""),"",D508*60+E508)</f>
        <v/>
      </c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</row>
    <row r="509">
      <c r="A509" s="14" t="n"/>
      <c r="B509" s="14" t="n"/>
      <c r="C509" s="21">
        <f>IF(B509="","",IFERROR(INDEX(Listas!$E$2:$E$10,MATCH(B509,Listas!$D$2:$D$10,0)),"?"))</f>
        <v/>
      </c>
      <c r="D509" s="14" t="n"/>
      <c r="E509" s="14" t="n"/>
      <c r="F509" s="21">
        <f>IF(AND(D509="",E509=""),"",D509*60+E509)</f>
        <v/>
      </c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</row>
    <row r="510">
      <c r="A510" s="14" t="n"/>
      <c r="B510" s="14" t="n"/>
      <c r="C510" s="21">
        <f>IF(B510="","",IFERROR(INDEX(Listas!$E$2:$E$10,MATCH(B510,Listas!$D$2:$D$10,0)),"?"))</f>
        <v/>
      </c>
      <c r="D510" s="14" t="n"/>
      <c r="E510" s="14" t="n"/>
      <c r="F510" s="21">
        <f>IF(AND(D510="",E510=""),"",D510*60+E510)</f>
        <v/>
      </c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</row>
    <row r="511">
      <c r="A511" s="14" t="n"/>
      <c r="B511" s="14" t="n"/>
      <c r="C511" s="21">
        <f>IF(B511="","",IFERROR(INDEX(Listas!$E$2:$E$10,MATCH(B511,Listas!$D$2:$D$10,0)),"?"))</f>
        <v/>
      </c>
      <c r="D511" s="14" t="n"/>
      <c r="E511" s="14" t="n"/>
      <c r="F511" s="21">
        <f>IF(AND(D511="",E511=""),"",D511*60+E511)</f>
        <v/>
      </c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</row>
    <row r="512">
      <c r="A512" s="14" t="n"/>
      <c r="B512" s="14" t="n"/>
      <c r="C512" s="21">
        <f>IF(B512="","",IFERROR(INDEX(Listas!$E$2:$E$10,MATCH(B512,Listas!$D$2:$D$10,0)),"?"))</f>
        <v/>
      </c>
      <c r="D512" s="14" t="n"/>
      <c r="E512" s="14" t="n"/>
      <c r="F512" s="21">
        <f>IF(AND(D512="",E512=""),"",D512*60+E512)</f>
        <v/>
      </c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</row>
    <row r="513">
      <c r="A513" s="14" t="n"/>
      <c r="B513" s="14" t="n"/>
      <c r="C513" s="21">
        <f>IF(B513="","",IFERROR(INDEX(Listas!$E$2:$E$10,MATCH(B513,Listas!$D$2:$D$10,0)),"?"))</f>
        <v/>
      </c>
      <c r="D513" s="14" t="n"/>
      <c r="E513" s="14" t="n"/>
      <c r="F513" s="21">
        <f>IF(AND(D513="",E513=""),"",D513*60+E513)</f>
        <v/>
      </c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</row>
    <row r="514">
      <c r="A514" s="14" t="n"/>
      <c r="B514" s="14" t="n"/>
      <c r="C514" s="21">
        <f>IF(B514="","",IFERROR(INDEX(Listas!$E$2:$E$10,MATCH(B514,Listas!$D$2:$D$10,0)),"?"))</f>
        <v/>
      </c>
      <c r="D514" s="14" t="n"/>
      <c r="E514" s="14" t="n"/>
      <c r="F514" s="21">
        <f>IF(AND(D514="",E514=""),"",D514*60+E514)</f>
        <v/>
      </c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</row>
    <row r="515">
      <c r="A515" s="14" t="n"/>
      <c r="B515" s="14" t="n"/>
      <c r="C515" s="21">
        <f>IF(B515="","",IFERROR(INDEX(Listas!$E$2:$E$10,MATCH(B515,Listas!$D$2:$D$10,0)),"?"))</f>
        <v/>
      </c>
      <c r="D515" s="14" t="n"/>
      <c r="E515" s="14" t="n"/>
      <c r="F515" s="21">
        <f>IF(AND(D515="",E515=""),"",D515*60+E515)</f>
        <v/>
      </c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</row>
    <row r="516">
      <c r="A516" s="14" t="n"/>
      <c r="B516" s="14" t="n"/>
      <c r="C516" s="21">
        <f>IF(B516="","",IFERROR(INDEX(Listas!$E$2:$E$10,MATCH(B516,Listas!$D$2:$D$10,0)),"?"))</f>
        <v/>
      </c>
      <c r="D516" s="14" t="n"/>
      <c r="E516" s="14" t="n"/>
      <c r="F516" s="21">
        <f>IF(AND(D516="",E516=""),"",D516*60+E516)</f>
        <v/>
      </c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</row>
    <row r="517">
      <c r="A517" s="14" t="n"/>
      <c r="B517" s="14" t="n"/>
      <c r="C517" s="21">
        <f>IF(B517="","",IFERROR(INDEX(Listas!$E$2:$E$10,MATCH(B517,Listas!$D$2:$D$10,0)),"?"))</f>
        <v/>
      </c>
      <c r="D517" s="14" t="n"/>
      <c r="E517" s="14" t="n"/>
      <c r="F517" s="21">
        <f>IF(AND(D517="",E517=""),"",D517*60+E517)</f>
        <v/>
      </c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</row>
    <row r="518">
      <c r="A518" s="14" t="n"/>
      <c r="B518" s="14" t="n"/>
      <c r="C518" s="21">
        <f>IF(B518="","",IFERROR(INDEX(Listas!$E$2:$E$10,MATCH(B518,Listas!$D$2:$D$10,0)),"?"))</f>
        <v/>
      </c>
      <c r="D518" s="14" t="n"/>
      <c r="E518" s="14" t="n"/>
      <c r="F518" s="21">
        <f>IF(AND(D518="",E518=""),"",D518*60+E518)</f>
        <v/>
      </c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</row>
    <row r="519">
      <c r="A519" s="14" t="n"/>
      <c r="B519" s="14" t="n"/>
      <c r="C519" s="21">
        <f>IF(B519="","",IFERROR(INDEX(Listas!$E$2:$E$10,MATCH(B519,Listas!$D$2:$D$10,0)),"?"))</f>
        <v/>
      </c>
      <c r="D519" s="14" t="n"/>
      <c r="E519" s="14" t="n"/>
      <c r="F519" s="21">
        <f>IF(AND(D519="",E519=""),"",D519*60+E519)</f>
        <v/>
      </c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</row>
    <row r="520">
      <c r="A520" s="14" t="n"/>
      <c r="B520" s="14" t="n"/>
      <c r="C520" s="21">
        <f>IF(B520="","",IFERROR(INDEX(Listas!$E$2:$E$10,MATCH(B520,Listas!$D$2:$D$10,0)),"?"))</f>
        <v/>
      </c>
      <c r="D520" s="14" t="n"/>
      <c r="E520" s="14" t="n"/>
      <c r="F520" s="21">
        <f>IF(AND(D520="",E520=""),"",D520*60+E520)</f>
        <v/>
      </c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</row>
    <row r="521">
      <c r="A521" s="14" t="n"/>
      <c r="B521" s="14" t="n"/>
      <c r="C521" s="21">
        <f>IF(B521="","",IFERROR(INDEX(Listas!$E$2:$E$10,MATCH(B521,Listas!$D$2:$D$10,0)),"?"))</f>
        <v/>
      </c>
      <c r="D521" s="14" t="n"/>
      <c r="E521" s="14" t="n"/>
      <c r="F521" s="21">
        <f>IF(AND(D521="",E521=""),"",D521*60+E521)</f>
        <v/>
      </c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</row>
    <row r="522">
      <c r="A522" s="14" t="n"/>
      <c r="B522" s="14" t="n"/>
      <c r="C522" s="21">
        <f>IF(B522="","",IFERROR(INDEX(Listas!$E$2:$E$10,MATCH(B522,Listas!$D$2:$D$10,0)),"?"))</f>
        <v/>
      </c>
      <c r="D522" s="14" t="n"/>
      <c r="E522" s="14" t="n"/>
      <c r="F522" s="21">
        <f>IF(AND(D522="",E522=""),"",D522*60+E522)</f>
        <v/>
      </c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</row>
    <row r="523">
      <c r="A523" s="14" t="n"/>
      <c r="B523" s="14" t="n"/>
      <c r="C523" s="21">
        <f>IF(B523="","",IFERROR(INDEX(Listas!$E$2:$E$10,MATCH(B523,Listas!$D$2:$D$10,0)),"?"))</f>
        <v/>
      </c>
      <c r="D523" s="14" t="n"/>
      <c r="E523" s="14" t="n"/>
      <c r="F523" s="21">
        <f>IF(AND(D523="",E523=""),"",D523*60+E523)</f>
        <v/>
      </c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</row>
    <row r="524">
      <c r="A524" s="14" t="n"/>
      <c r="B524" s="14" t="n"/>
      <c r="C524" s="21">
        <f>IF(B524="","",IFERROR(INDEX(Listas!$E$2:$E$10,MATCH(B524,Listas!$D$2:$D$10,0)),"?"))</f>
        <v/>
      </c>
      <c r="D524" s="14" t="n"/>
      <c r="E524" s="14" t="n"/>
      <c r="F524" s="21">
        <f>IF(AND(D524="",E524=""),"",D524*60+E524)</f>
        <v/>
      </c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</row>
    <row r="525">
      <c r="A525" s="14" t="n"/>
      <c r="B525" s="14" t="n"/>
      <c r="C525" s="21">
        <f>IF(B525="","",IFERROR(INDEX(Listas!$E$2:$E$10,MATCH(B525,Listas!$D$2:$D$10,0)),"?"))</f>
        <v/>
      </c>
      <c r="D525" s="14" t="n"/>
      <c r="E525" s="14" t="n"/>
      <c r="F525" s="21">
        <f>IF(AND(D525="",E525=""),"",D525*60+E525)</f>
        <v/>
      </c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</row>
    <row r="526">
      <c r="A526" s="14" t="n"/>
      <c r="B526" s="14" t="n"/>
      <c r="C526" s="21">
        <f>IF(B526="","",IFERROR(INDEX(Listas!$E$2:$E$10,MATCH(B526,Listas!$D$2:$D$10,0)),"?"))</f>
        <v/>
      </c>
      <c r="D526" s="14" t="n"/>
      <c r="E526" s="14" t="n"/>
      <c r="F526" s="21">
        <f>IF(AND(D526="",E526=""),"",D526*60+E526)</f>
        <v/>
      </c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</row>
    <row r="527">
      <c r="A527" s="14" t="n"/>
      <c r="B527" s="14" t="n"/>
      <c r="C527" s="21">
        <f>IF(B527="","",IFERROR(INDEX(Listas!$E$2:$E$10,MATCH(B527,Listas!$D$2:$D$10,0)),"?"))</f>
        <v/>
      </c>
      <c r="D527" s="14" t="n"/>
      <c r="E527" s="14" t="n"/>
      <c r="F527" s="21">
        <f>IF(AND(D527="",E527=""),"",D527*60+E527)</f>
        <v/>
      </c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</row>
    <row r="528">
      <c r="A528" s="14" t="n"/>
      <c r="B528" s="14" t="n"/>
      <c r="C528" s="21">
        <f>IF(B528="","",IFERROR(INDEX(Listas!$E$2:$E$10,MATCH(B528,Listas!$D$2:$D$10,0)),"?"))</f>
        <v/>
      </c>
      <c r="D528" s="14" t="n"/>
      <c r="E528" s="14" t="n"/>
      <c r="F528" s="21">
        <f>IF(AND(D528="",E528=""),"",D528*60+E528)</f>
        <v/>
      </c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</row>
    <row r="529">
      <c r="A529" s="14" t="n"/>
      <c r="B529" s="14" t="n"/>
      <c r="C529" s="21">
        <f>IF(B529="","",IFERROR(INDEX(Listas!$E$2:$E$10,MATCH(B529,Listas!$D$2:$D$10,0)),"?"))</f>
        <v/>
      </c>
      <c r="D529" s="14" t="n"/>
      <c r="E529" s="14" t="n"/>
      <c r="F529" s="21">
        <f>IF(AND(D529="",E529=""),"",D529*60+E529)</f>
        <v/>
      </c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</row>
    <row r="530">
      <c r="A530" s="14" t="n"/>
      <c r="B530" s="14" t="n"/>
      <c r="C530" s="21">
        <f>IF(B530="","",IFERROR(INDEX(Listas!$E$2:$E$10,MATCH(B530,Listas!$D$2:$D$10,0)),"?"))</f>
        <v/>
      </c>
      <c r="D530" s="14" t="n"/>
      <c r="E530" s="14" t="n"/>
      <c r="F530" s="21">
        <f>IF(AND(D530="",E530=""),"",D530*60+E530)</f>
        <v/>
      </c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</row>
    <row r="531">
      <c r="A531" s="14" t="n"/>
      <c r="B531" s="14" t="n"/>
      <c r="C531" s="21">
        <f>IF(B531="","",IFERROR(INDEX(Listas!$E$2:$E$10,MATCH(B531,Listas!$D$2:$D$10,0)),"?"))</f>
        <v/>
      </c>
      <c r="D531" s="14" t="n"/>
      <c r="E531" s="14" t="n"/>
      <c r="F531" s="21">
        <f>IF(AND(D531="",E531=""),"",D531*60+E531)</f>
        <v/>
      </c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</row>
    <row r="532">
      <c r="A532" s="14" t="n"/>
      <c r="B532" s="14" t="n"/>
      <c r="C532" s="21">
        <f>IF(B532="","",IFERROR(INDEX(Listas!$E$2:$E$10,MATCH(B532,Listas!$D$2:$D$10,0)),"?"))</f>
        <v/>
      </c>
      <c r="D532" s="14" t="n"/>
      <c r="E532" s="14" t="n"/>
      <c r="F532" s="21">
        <f>IF(AND(D532="",E532=""),"",D532*60+E532)</f>
        <v/>
      </c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</row>
    <row r="533">
      <c r="A533" s="14" t="n"/>
      <c r="B533" s="14" t="n"/>
      <c r="C533" s="21">
        <f>IF(B533="","",IFERROR(INDEX(Listas!$E$2:$E$10,MATCH(B533,Listas!$D$2:$D$10,0)),"?"))</f>
        <v/>
      </c>
      <c r="D533" s="14" t="n"/>
      <c r="E533" s="14" t="n"/>
      <c r="F533" s="21">
        <f>IF(AND(D533="",E533=""),"",D533*60+E533)</f>
        <v/>
      </c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</row>
    <row r="534">
      <c r="A534" s="14" t="n"/>
      <c r="B534" s="14" t="n"/>
      <c r="C534" s="21">
        <f>IF(B534="","",IFERROR(INDEX(Listas!$E$2:$E$10,MATCH(B534,Listas!$D$2:$D$10,0)),"?"))</f>
        <v/>
      </c>
      <c r="D534" s="14" t="n"/>
      <c r="E534" s="14" t="n"/>
      <c r="F534" s="21">
        <f>IF(AND(D534="",E534=""),"",D534*60+E534)</f>
        <v/>
      </c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</row>
    <row r="535">
      <c r="A535" s="14" t="n"/>
      <c r="B535" s="14" t="n"/>
      <c r="C535" s="21">
        <f>IF(B535="","",IFERROR(INDEX(Listas!$E$2:$E$10,MATCH(B535,Listas!$D$2:$D$10,0)),"?"))</f>
        <v/>
      </c>
      <c r="D535" s="14" t="n"/>
      <c r="E535" s="14" t="n"/>
      <c r="F535" s="21">
        <f>IF(AND(D535="",E535=""),"",D535*60+E535)</f>
        <v/>
      </c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</row>
    <row r="536">
      <c r="A536" s="14" t="n"/>
      <c r="B536" s="14" t="n"/>
      <c r="C536" s="21">
        <f>IF(B536="","",IFERROR(INDEX(Listas!$E$2:$E$10,MATCH(B536,Listas!$D$2:$D$10,0)),"?"))</f>
        <v/>
      </c>
      <c r="D536" s="14" t="n"/>
      <c r="E536" s="14" t="n"/>
      <c r="F536" s="21">
        <f>IF(AND(D536="",E536=""),"",D536*60+E536)</f>
        <v/>
      </c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</row>
    <row r="537">
      <c r="A537" s="14" t="n"/>
      <c r="B537" s="14" t="n"/>
      <c r="C537" s="21">
        <f>IF(B537="","",IFERROR(INDEX(Listas!$E$2:$E$10,MATCH(B537,Listas!$D$2:$D$10,0)),"?"))</f>
        <v/>
      </c>
      <c r="D537" s="14" t="n"/>
      <c r="E537" s="14" t="n"/>
      <c r="F537" s="21">
        <f>IF(AND(D537="",E537=""),"",D537*60+E537)</f>
        <v/>
      </c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</row>
    <row r="538">
      <c r="A538" s="14" t="n"/>
      <c r="B538" s="14" t="n"/>
      <c r="C538" s="21">
        <f>IF(B538="","",IFERROR(INDEX(Listas!$E$2:$E$10,MATCH(B538,Listas!$D$2:$D$10,0)),"?"))</f>
        <v/>
      </c>
      <c r="D538" s="14" t="n"/>
      <c r="E538" s="14" t="n"/>
      <c r="F538" s="21">
        <f>IF(AND(D538="",E538=""),"",D538*60+E538)</f>
        <v/>
      </c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</row>
    <row r="539">
      <c r="A539" s="14" t="n"/>
      <c r="B539" s="14" t="n"/>
      <c r="C539" s="21">
        <f>IF(B539="","",IFERROR(INDEX(Listas!$E$2:$E$10,MATCH(B539,Listas!$D$2:$D$10,0)),"?"))</f>
        <v/>
      </c>
      <c r="D539" s="14" t="n"/>
      <c r="E539" s="14" t="n"/>
      <c r="F539" s="21">
        <f>IF(AND(D539="",E539=""),"",D539*60+E539)</f>
        <v/>
      </c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</row>
    <row r="540">
      <c r="A540" s="14" t="n"/>
      <c r="B540" s="14" t="n"/>
      <c r="C540" s="21">
        <f>IF(B540="","",IFERROR(INDEX(Listas!$E$2:$E$10,MATCH(B540,Listas!$D$2:$D$10,0)),"?"))</f>
        <v/>
      </c>
      <c r="D540" s="14" t="n"/>
      <c r="E540" s="14" t="n"/>
      <c r="F540" s="21">
        <f>IF(AND(D540="",E540=""),"",D540*60+E540)</f>
        <v/>
      </c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</row>
    <row r="541">
      <c r="A541" s="14" t="n"/>
      <c r="B541" s="14" t="n"/>
      <c r="C541" s="21">
        <f>IF(B541="","",IFERROR(INDEX(Listas!$E$2:$E$10,MATCH(B541,Listas!$D$2:$D$10,0)),"?"))</f>
        <v/>
      </c>
      <c r="D541" s="14" t="n"/>
      <c r="E541" s="14" t="n"/>
      <c r="F541" s="21">
        <f>IF(AND(D541="",E541=""),"",D541*60+E541)</f>
        <v/>
      </c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</row>
    <row r="542">
      <c r="A542" s="14" t="n"/>
      <c r="B542" s="14" t="n"/>
      <c r="C542" s="21">
        <f>IF(B542="","",IFERROR(INDEX(Listas!$E$2:$E$10,MATCH(B542,Listas!$D$2:$D$10,0)),"?"))</f>
        <v/>
      </c>
      <c r="D542" s="14" t="n"/>
      <c r="E542" s="14" t="n"/>
      <c r="F542" s="21">
        <f>IF(AND(D542="",E542=""),"",D542*60+E542)</f>
        <v/>
      </c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</row>
    <row r="543">
      <c r="A543" s="14" t="n"/>
      <c r="B543" s="14" t="n"/>
      <c r="C543" s="21">
        <f>IF(B543="","",IFERROR(INDEX(Listas!$E$2:$E$10,MATCH(B543,Listas!$D$2:$D$10,0)),"?"))</f>
        <v/>
      </c>
      <c r="D543" s="14" t="n"/>
      <c r="E543" s="14" t="n"/>
      <c r="F543" s="21">
        <f>IF(AND(D543="",E543=""),"",D543*60+E543)</f>
        <v/>
      </c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</row>
    <row r="544">
      <c r="A544" s="14" t="n"/>
      <c r="B544" s="14" t="n"/>
      <c r="C544" s="21">
        <f>IF(B544="","",IFERROR(INDEX(Listas!$E$2:$E$10,MATCH(B544,Listas!$D$2:$D$10,0)),"?"))</f>
        <v/>
      </c>
      <c r="D544" s="14" t="n"/>
      <c r="E544" s="14" t="n"/>
      <c r="F544" s="21">
        <f>IF(AND(D544="",E544=""),"",D544*60+E544)</f>
        <v/>
      </c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</row>
    <row r="545">
      <c r="A545" s="14" t="n"/>
      <c r="B545" s="14" t="n"/>
      <c r="C545" s="21">
        <f>IF(B545="","",IFERROR(INDEX(Listas!$E$2:$E$10,MATCH(B545,Listas!$D$2:$D$10,0)),"?"))</f>
        <v/>
      </c>
      <c r="D545" s="14" t="n"/>
      <c r="E545" s="14" t="n"/>
      <c r="F545" s="21">
        <f>IF(AND(D545="",E545=""),"",D545*60+E545)</f>
        <v/>
      </c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</row>
    <row r="546">
      <c r="A546" s="14" t="n"/>
      <c r="B546" s="14" t="n"/>
      <c r="C546" s="21">
        <f>IF(B546="","",IFERROR(INDEX(Listas!$E$2:$E$10,MATCH(B546,Listas!$D$2:$D$10,0)),"?"))</f>
        <v/>
      </c>
      <c r="D546" s="14" t="n"/>
      <c r="E546" s="14" t="n"/>
      <c r="F546" s="21">
        <f>IF(AND(D546="",E546=""),"",D546*60+E546)</f>
        <v/>
      </c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</row>
    <row r="547">
      <c r="A547" s="14" t="n"/>
      <c r="B547" s="14" t="n"/>
      <c r="C547" s="21">
        <f>IF(B547="","",IFERROR(INDEX(Listas!$E$2:$E$10,MATCH(B547,Listas!$D$2:$D$10,0)),"?"))</f>
        <v/>
      </c>
      <c r="D547" s="14" t="n"/>
      <c r="E547" s="14" t="n"/>
      <c r="F547" s="21">
        <f>IF(AND(D547="",E547=""),"",D547*60+E547)</f>
        <v/>
      </c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</row>
    <row r="548">
      <c r="A548" s="14" t="n"/>
      <c r="B548" s="14" t="n"/>
      <c r="C548" s="21">
        <f>IF(B548="","",IFERROR(INDEX(Listas!$E$2:$E$10,MATCH(B548,Listas!$D$2:$D$10,0)),"?"))</f>
        <v/>
      </c>
      <c r="D548" s="14" t="n"/>
      <c r="E548" s="14" t="n"/>
      <c r="F548" s="21">
        <f>IF(AND(D548="",E548=""),"",D548*60+E548)</f>
        <v/>
      </c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</row>
    <row r="549">
      <c r="A549" s="14" t="n"/>
      <c r="B549" s="14" t="n"/>
      <c r="C549" s="21">
        <f>IF(B549="","",IFERROR(INDEX(Listas!$E$2:$E$10,MATCH(B549,Listas!$D$2:$D$10,0)),"?"))</f>
        <v/>
      </c>
      <c r="D549" s="14" t="n"/>
      <c r="E549" s="14" t="n"/>
      <c r="F549" s="21">
        <f>IF(AND(D549="",E549=""),"",D549*60+E549)</f>
        <v/>
      </c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</row>
    <row r="550">
      <c r="A550" s="14" t="n"/>
      <c r="B550" s="14" t="n"/>
      <c r="C550" s="21">
        <f>IF(B550="","",IFERROR(INDEX(Listas!$E$2:$E$10,MATCH(B550,Listas!$D$2:$D$10,0)),"?"))</f>
        <v/>
      </c>
      <c r="D550" s="14" t="n"/>
      <c r="E550" s="14" t="n"/>
      <c r="F550" s="21">
        <f>IF(AND(D550="",E550=""),"",D550*60+E550)</f>
        <v/>
      </c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</row>
    <row r="551">
      <c r="A551" s="14" t="n"/>
      <c r="B551" s="14" t="n"/>
      <c r="C551" s="21">
        <f>IF(B551="","",IFERROR(INDEX(Listas!$E$2:$E$10,MATCH(B551,Listas!$D$2:$D$10,0)),"?"))</f>
        <v/>
      </c>
      <c r="D551" s="14" t="n"/>
      <c r="E551" s="14" t="n"/>
      <c r="F551" s="21">
        <f>IF(AND(D551="",E551=""),"",D551*60+E551)</f>
        <v/>
      </c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</row>
    <row r="552">
      <c r="A552" s="14" t="n"/>
      <c r="B552" s="14" t="n"/>
      <c r="C552" s="21">
        <f>IF(B552="","",IFERROR(INDEX(Listas!$E$2:$E$10,MATCH(B552,Listas!$D$2:$D$10,0)),"?"))</f>
        <v/>
      </c>
      <c r="D552" s="14" t="n"/>
      <c r="E552" s="14" t="n"/>
      <c r="F552" s="21">
        <f>IF(AND(D552="",E552=""),"",D552*60+E552)</f>
        <v/>
      </c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</row>
    <row r="553">
      <c r="A553" s="14" t="n"/>
      <c r="B553" s="14" t="n"/>
      <c r="C553" s="21">
        <f>IF(B553="","",IFERROR(INDEX(Listas!$E$2:$E$10,MATCH(B553,Listas!$D$2:$D$10,0)),"?"))</f>
        <v/>
      </c>
      <c r="D553" s="14" t="n"/>
      <c r="E553" s="14" t="n"/>
      <c r="F553" s="21">
        <f>IF(AND(D553="",E553=""),"",D553*60+E553)</f>
        <v/>
      </c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</row>
    <row r="554">
      <c r="A554" s="14" t="n"/>
      <c r="B554" s="14" t="n"/>
      <c r="C554" s="21">
        <f>IF(B554="","",IFERROR(INDEX(Listas!$E$2:$E$10,MATCH(B554,Listas!$D$2:$D$10,0)),"?"))</f>
        <v/>
      </c>
      <c r="D554" s="14" t="n"/>
      <c r="E554" s="14" t="n"/>
      <c r="F554" s="21">
        <f>IF(AND(D554="",E554=""),"",D554*60+E554)</f>
        <v/>
      </c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</row>
    <row r="555">
      <c r="A555" s="14" t="n"/>
      <c r="B555" s="14" t="n"/>
      <c r="C555" s="21">
        <f>IF(B555="","",IFERROR(INDEX(Listas!$E$2:$E$10,MATCH(B555,Listas!$D$2:$D$10,0)),"?"))</f>
        <v/>
      </c>
      <c r="D555" s="14" t="n"/>
      <c r="E555" s="14" t="n"/>
      <c r="F555" s="21">
        <f>IF(AND(D555="",E555=""),"",D555*60+E555)</f>
        <v/>
      </c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</row>
    <row r="556">
      <c r="A556" s="14" t="n"/>
      <c r="B556" s="14" t="n"/>
      <c r="C556" s="21">
        <f>IF(B556="","",IFERROR(INDEX(Listas!$E$2:$E$10,MATCH(B556,Listas!$D$2:$D$10,0)),"?"))</f>
        <v/>
      </c>
      <c r="D556" s="14" t="n"/>
      <c r="E556" s="14" t="n"/>
      <c r="F556" s="21">
        <f>IF(AND(D556="",E556=""),"",D556*60+E556)</f>
        <v/>
      </c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</row>
    <row r="557">
      <c r="A557" s="14" t="n"/>
      <c r="B557" s="14" t="n"/>
      <c r="C557" s="21">
        <f>IF(B557="","",IFERROR(INDEX(Listas!$E$2:$E$10,MATCH(B557,Listas!$D$2:$D$10,0)),"?"))</f>
        <v/>
      </c>
      <c r="D557" s="14" t="n"/>
      <c r="E557" s="14" t="n"/>
      <c r="F557" s="21">
        <f>IF(AND(D557="",E557=""),"",D557*60+E557)</f>
        <v/>
      </c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</row>
    <row r="558">
      <c r="A558" s="14" t="n"/>
      <c r="B558" s="14" t="n"/>
      <c r="C558" s="21">
        <f>IF(B558="","",IFERROR(INDEX(Listas!$E$2:$E$10,MATCH(B558,Listas!$D$2:$D$10,0)),"?"))</f>
        <v/>
      </c>
      <c r="D558" s="14" t="n"/>
      <c r="E558" s="14" t="n"/>
      <c r="F558" s="21">
        <f>IF(AND(D558="",E558=""),"",D558*60+E558)</f>
        <v/>
      </c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</row>
    <row r="559">
      <c r="A559" s="14" t="n"/>
      <c r="B559" s="14" t="n"/>
      <c r="C559" s="21">
        <f>IF(B559="","",IFERROR(INDEX(Listas!$E$2:$E$10,MATCH(B559,Listas!$D$2:$D$10,0)),"?"))</f>
        <v/>
      </c>
      <c r="D559" s="14" t="n"/>
      <c r="E559" s="14" t="n"/>
      <c r="F559" s="21">
        <f>IF(AND(D559="",E559=""),"",D559*60+E559)</f>
        <v/>
      </c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</row>
    <row r="560">
      <c r="A560" s="14" t="n"/>
      <c r="B560" s="14" t="n"/>
      <c r="C560" s="21">
        <f>IF(B560="","",IFERROR(INDEX(Listas!$E$2:$E$10,MATCH(B560,Listas!$D$2:$D$10,0)),"?"))</f>
        <v/>
      </c>
      <c r="D560" s="14" t="n"/>
      <c r="E560" s="14" t="n"/>
      <c r="F560" s="21">
        <f>IF(AND(D560="",E560=""),"",D560*60+E560)</f>
        <v/>
      </c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</row>
    <row r="561">
      <c r="A561" s="14" t="n"/>
      <c r="B561" s="14" t="n"/>
      <c r="C561" s="21">
        <f>IF(B561="","",IFERROR(INDEX(Listas!$E$2:$E$10,MATCH(B561,Listas!$D$2:$D$10,0)),"?"))</f>
        <v/>
      </c>
      <c r="D561" s="14" t="n"/>
      <c r="E561" s="14" t="n"/>
      <c r="F561" s="21">
        <f>IF(AND(D561="",E561=""),"",D561*60+E561)</f>
        <v/>
      </c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</row>
    <row r="562">
      <c r="A562" s="14" t="n"/>
      <c r="B562" s="14" t="n"/>
      <c r="C562" s="21">
        <f>IF(B562="","",IFERROR(INDEX(Listas!$E$2:$E$10,MATCH(B562,Listas!$D$2:$D$10,0)),"?"))</f>
        <v/>
      </c>
      <c r="D562" s="14" t="n"/>
      <c r="E562" s="14" t="n"/>
      <c r="F562" s="21">
        <f>IF(AND(D562="",E562=""),"",D562*60+E562)</f>
        <v/>
      </c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</row>
    <row r="563">
      <c r="A563" s="14" t="n"/>
      <c r="B563" s="14" t="n"/>
      <c r="C563" s="21">
        <f>IF(B563="","",IFERROR(INDEX(Listas!$E$2:$E$10,MATCH(B563,Listas!$D$2:$D$10,0)),"?"))</f>
        <v/>
      </c>
      <c r="D563" s="14" t="n"/>
      <c r="E563" s="14" t="n"/>
      <c r="F563" s="21">
        <f>IF(AND(D563="",E563=""),"",D563*60+E563)</f>
        <v/>
      </c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</row>
    <row r="564">
      <c r="A564" s="14" t="n"/>
      <c r="B564" s="14" t="n"/>
      <c r="C564" s="21">
        <f>IF(B564="","",IFERROR(INDEX(Listas!$E$2:$E$10,MATCH(B564,Listas!$D$2:$D$10,0)),"?"))</f>
        <v/>
      </c>
      <c r="D564" s="14" t="n"/>
      <c r="E564" s="14" t="n"/>
      <c r="F564" s="21">
        <f>IF(AND(D564="",E564=""),"",D564*60+E564)</f>
        <v/>
      </c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</row>
    <row r="565">
      <c r="A565" s="14" t="n"/>
      <c r="B565" s="14" t="n"/>
      <c r="C565" s="21">
        <f>IF(B565="","",IFERROR(INDEX(Listas!$E$2:$E$10,MATCH(B565,Listas!$D$2:$D$10,0)),"?"))</f>
        <v/>
      </c>
      <c r="D565" s="14" t="n"/>
      <c r="E565" s="14" t="n"/>
      <c r="F565" s="21">
        <f>IF(AND(D565="",E565=""),"",D565*60+E565)</f>
        <v/>
      </c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</row>
    <row r="566">
      <c r="A566" s="14" t="n"/>
      <c r="B566" s="14" t="n"/>
      <c r="C566" s="21">
        <f>IF(B566="","",IFERROR(INDEX(Listas!$E$2:$E$10,MATCH(B566,Listas!$D$2:$D$10,0)),"?"))</f>
        <v/>
      </c>
      <c r="D566" s="14" t="n"/>
      <c r="E566" s="14" t="n"/>
      <c r="F566" s="21">
        <f>IF(AND(D566="",E566=""),"",D566*60+E566)</f>
        <v/>
      </c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</row>
    <row r="567">
      <c r="A567" s="14" t="n"/>
      <c r="B567" s="14" t="n"/>
      <c r="C567" s="21">
        <f>IF(B567="","",IFERROR(INDEX(Listas!$E$2:$E$10,MATCH(B567,Listas!$D$2:$D$10,0)),"?"))</f>
        <v/>
      </c>
      <c r="D567" s="14" t="n"/>
      <c r="E567" s="14" t="n"/>
      <c r="F567" s="21">
        <f>IF(AND(D567="",E567=""),"",D567*60+E567)</f>
        <v/>
      </c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</row>
    <row r="568">
      <c r="A568" s="14" t="n"/>
      <c r="B568" s="14" t="n"/>
      <c r="C568" s="21">
        <f>IF(B568="","",IFERROR(INDEX(Listas!$E$2:$E$10,MATCH(B568,Listas!$D$2:$D$10,0)),"?"))</f>
        <v/>
      </c>
      <c r="D568" s="14" t="n"/>
      <c r="E568" s="14" t="n"/>
      <c r="F568" s="21">
        <f>IF(AND(D568="",E568=""),"",D568*60+E568)</f>
        <v/>
      </c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</row>
    <row r="569">
      <c r="A569" s="14" t="n"/>
      <c r="B569" s="14" t="n"/>
      <c r="C569" s="21">
        <f>IF(B569="","",IFERROR(INDEX(Listas!$E$2:$E$10,MATCH(B569,Listas!$D$2:$D$10,0)),"?"))</f>
        <v/>
      </c>
      <c r="D569" s="14" t="n"/>
      <c r="E569" s="14" t="n"/>
      <c r="F569" s="21">
        <f>IF(AND(D569="",E569=""),"",D569*60+E569)</f>
        <v/>
      </c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</row>
    <row r="570">
      <c r="A570" s="14" t="n"/>
      <c r="B570" s="14" t="n"/>
      <c r="C570" s="21">
        <f>IF(B570="","",IFERROR(INDEX(Listas!$E$2:$E$10,MATCH(B570,Listas!$D$2:$D$10,0)),"?"))</f>
        <v/>
      </c>
      <c r="D570" s="14" t="n"/>
      <c r="E570" s="14" t="n"/>
      <c r="F570" s="21">
        <f>IF(AND(D570="",E570=""),"",D570*60+E570)</f>
        <v/>
      </c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</row>
    <row r="571">
      <c r="A571" s="14" t="n"/>
      <c r="B571" s="14" t="n"/>
      <c r="C571" s="21">
        <f>IF(B571="","",IFERROR(INDEX(Listas!$E$2:$E$10,MATCH(B571,Listas!$D$2:$D$10,0)),"?"))</f>
        <v/>
      </c>
      <c r="D571" s="14" t="n"/>
      <c r="E571" s="14" t="n"/>
      <c r="F571" s="21">
        <f>IF(AND(D571="",E571=""),"",D571*60+E571)</f>
        <v/>
      </c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</row>
    <row r="572">
      <c r="A572" s="14" t="n"/>
      <c r="B572" s="14" t="n"/>
      <c r="C572" s="21">
        <f>IF(B572="","",IFERROR(INDEX(Listas!$E$2:$E$10,MATCH(B572,Listas!$D$2:$D$10,0)),"?"))</f>
        <v/>
      </c>
      <c r="D572" s="14" t="n"/>
      <c r="E572" s="14" t="n"/>
      <c r="F572" s="21">
        <f>IF(AND(D572="",E572=""),"",D572*60+E572)</f>
        <v/>
      </c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</row>
    <row r="573">
      <c r="A573" s="14" t="n"/>
      <c r="B573" s="14" t="n"/>
      <c r="C573" s="21">
        <f>IF(B573="","",IFERROR(INDEX(Listas!$E$2:$E$10,MATCH(B573,Listas!$D$2:$D$10,0)),"?"))</f>
        <v/>
      </c>
      <c r="D573" s="14" t="n"/>
      <c r="E573" s="14" t="n"/>
      <c r="F573" s="21">
        <f>IF(AND(D573="",E573=""),"",D573*60+E573)</f>
        <v/>
      </c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</row>
    <row r="574">
      <c r="A574" s="14" t="n"/>
      <c r="B574" s="14" t="n"/>
      <c r="C574" s="21">
        <f>IF(B574="","",IFERROR(INDEX(Listas!$E$2:$E$10,MATCH(B574,Listas!$D$2:$D$10,0)),"?"))</f>
        <v/>
      </c>
      <c r="D574" s="14" t="n"/>
      <c r="E574" s="14" t="n"/>
      <c r="F574" s="21">
        <f>IF(AND(D574="",E574=""),"",D574*60+E574)</f>
        <v/>
      </c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</row>
    <row r="575">
      <c r="A575" s="14" t="n"/>
      <c r="B575" s="14" t="n"/>
      <c r="C575" s="21">
        <f>IF(B575="","",IFERROR(INDEX(Listas!$E$2:$E$10,MATCH(B575,Listas!$D$2:$D$10,0)),"?"))</f>
        <v/>
      </c>
      <c r="D575" s="14" t="n"/>
      <c r="E575" s="14" t="n"/>
      <c r="F575" s="21">
        <f>IF(AND(D575="",E575=""),"",D575*60+E575)</f>
        <v/>
      </c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</row>
    <row r="576">
      <c r="A576" s="14" t="n"/>
      <c r="B576" s="14" t="n"/>
      <c r="C576" s="21">
        <f>IF(B576="","",IFERROR(INDEX(Listas!$E$2:$E$10,MATCH(B576,Listas!$D$2:$D$10,0)),"?"))</f>
        <v/>
      </c>
      <c r="D576" s="14" t="n"/>
      <c r="E576" s="14" t="n"/>
      <c r="F576" s="21">
        <f>IF(AND(D576="",E576=""),"",D576*60+E576)</f>
        <v/>
      </c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</row>
    <row r="577">
      <c r="A577" s="14" t="n"/>
      <c r="B577" s="14" t="n"/>
      <c r="C577" s="21">
        <f>IF(B577="","",IFERROR(INDEX(Listas!$E$2:$E$10,MATCH(B577,Listas!$D$2:$D$10,0)),"?"))</f>
        <v/>
      </c>
      <c r="D577" s="14" t="n"/>
      <c r="E577" s="14" t="n"/>
      <c r="F577" s="21">
        <f>IF(AND(D577="",E577=""),"",D577*60+E577)</f>
        <v/>
      </c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</row>
    <row r="578">
      <c r="A578" s="14" t="n"/>
      <c r="B578" s="14" t="n"/>
      <c r="C578" s="21">
        <f>IF(B578="","",IFERROR(INDEX(Listas!$E$2:$E$10,MATCH(B578,Listas!$D$2:$D$10,0)),"?"))</f>
        <v/>
      </c>
      <c r="D578" s="14" t="n"/>
      <c r="E578" s="14" t="n"/>
      <c r="F578" s="21">
        <f>IF(AND(D578="",E578=""),"",D578*60+E578)</f>
        <v/>
      </c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</row>
    <row r="579">
      <c r="A579" s="14" t="n"/>
      <c r="B579" s="14" t="n"/>
      <c r="C579" s="21">
        <f>IF(B579="","",IFERROR(INDEX(Listas!$E$2:$E$10,MATCH(B579,Listas!$D$2:$D$10,0)),"?"))</f>
        <v/>
      </c>
      <c r="D579" s="14" t="n"/>
      <c r="E579" s="14" t="n"/>
      <c r="F579" s="21">
        <f>IF(AND(D579="",E579=""),"",D579*60+E579)</f>
        <v/>
      </c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</row>
    <row r="580">
      <c r="A580" s="14" t="n"/>
      <c r="B580" s="14" t="n"/>
      <c r="C580" s="21">
        <f>IF(B580="","",IFERROR(INDEX(Listas!$E$2:$E$10,MATCH(B580,Listas!$D$2:$D$10,0)),"?"))</f>
        <v/>
      </c>
      <c r="D580" s="14" t="n"/>
      <c r="E580" s="14" t="n"/>
      <c r="F580" s="21">
        <f>IF(AND(D580="",E580=""),"",D580*60+E580)</f>
        <v/>
      </c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</row>
    <row r="581">
      <c r="A581" s="14" t="n"/>
      <c r="B581" s="14" t="n"/>
      <c r="C581" s="21">
        <f>IF(B581="","",IFERROR(INDEX(Listas!$E$2:$E$10,MATCH(B581,Listas!$D$2:$D$10,0)),"?"))</f>
        <v/>
      </c>
      <c r="D581" s="14" t="n"/>
      <c r="E581" s="14" t="n"/>
      <c r="F581" s="21">
        <f>IF(AND(D581="",E581=""),"",D581*60+E581)</f>
        <v/>
      </c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</row>
    <row r="582">
      <c r="A582" s="14" t="n"/>
      <c r="B582" s="14" t="n"/>
      <c r="C582" s="21">
        <f>IF(B582="","",IFERROR(INDEX(Listas!$E$2:$E$10,MATCH(B582,Listas!$D$2:$D$10,0)),"?"))</f>
        <v/>
      </c>
      <c r="D582" s="14" t="n"/>
      <c r="E582" s="14" t="n"/>
      <c r="F582" s="21">
        <f>IF(AND(D582="",E582=""),"",D582*60+E582)</f>
        <v/>
      </c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</row>
    <row r="583">
      <c r="A583" s="14" t="n"/>
      <c r="B583" s="14" t="n"/>
      <c r="C583" s="21">
        <f>IF(B583="","",IFERROR(INDEX(Listas!$E$2:$E$10,MATCH(B583,Listas!$D$2:$D$10,0)),"?"))</f>
        <v/>
      </c>
      <c r="D583" s="14" t="n"/>
      <c r="E583" s="14" t="n"/>
      <c r="F583" s="21">
        <f>IF(AND(D583="",E583=""),"",D583*60+E583)</f>
        <v/>
      </c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</row>
    <row r="584">
      <c r="A584" s="14" t="n"/>
      <c r="B584" s="14" t="n"/>
      <c r="C584" s="21">
        <f>IF(B584="","",IFERROR(INDEX(Listas!$E$2:$E$10,MATCH(B584,Listas!$D$2:$D$10,0)),"?"))</f>
        <v/>
      </c>
      <c r="D584" s="14" t="n"/>
      <c r="E584" s="14" t="n"/>
      <c r="F584" s="21">
        <f>IF(AND(D584="",E584=""),"",D584*60+E584)</f>
        <v/>
      </c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</row>
    <row r="585">
      <c r="A585" s="14" t="n"/>
      <c r="B585" s="14" t="n"/>
      <c r="C585" s="21">
        <f>IF(B585="","",IFERROR(INDEX(Listas!$E$2:$E$10,MATCH(B585,Listas!$D$2:$D$10,0)),"?"))</f>
        <v/>
      </c>
      <c r="D585" s="14" t="n"/>
      <c r="E585" s="14" t="n"/>
      <c r="F585" s="21">
        <f>IF(AND(D585="",E585=""),"",D585*60+E585)</f>
        <v/>
      </c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</row>
    <row r="586">
      <c r="A586" s="14" t="n"/>
      <c r="B586" s="14" t="n"/>
      <c r="C586" s="21">
        <f>IF(B586="","",IFERROR(INDEX(Listas!$E$2:$E$10,MATCH(B586,Listas!$D$2:$D$10,0)),"?"))</f>
        <v/>
      </c>
      <c r="D586" s="14" t="n"/>
      <c r="E586" s="14" t="n"/>
      <c r="F586" s="21">
        <f>IF(AND(D586="",E586=""),"",D586*60+E586)</f>
        <v/>
      </c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</row>
    <row r="587">
      <c r="A587" s="14" t="n"/>
      <c r="B587" s="14" t="n"/>
      <c r="C587" s="21">
        <f>IF(B587="","",IFERROR(INDEX(Listas!$E$2:$E$10,MATCH(B587,Listas!$D$2:$D$10,0)),"?"))</f>
        <v/>
      </c>
      <c r="D587" s="14" t="n"/>
      <c r="E587" s="14" t="n"/>
      <c r="F587" s="21">
        <f>IF(AND(D587="",E587=""),"",D587*60+E587)</f>
        <v/>
      </c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</row>
    <row r="588">
      <c r="A588" s="14" t="n"/>
      <c r="B588" s="14" t="n"/>
      <c r="C588" s="21">
        <f>IF(B588="","",IFERROR(INDEX(Listas!$E$2:$E$10,MATCH(B588,Listas!$D$2:$D$10,0)),"?"))</f>
        <v/>
      </c>
      <c r="D588" s="14" t="n"/>
      <c r="E588" s="14" t="n"/>
      <c r="F588" s="21">
        <f>IF(AND(D588="",E588=""),"",D588*60+E588)</f>
        <v/>
      </c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</row>
    <row r="589">
      <c r="A589" s="14" t="n"/>
      <c r="B589" s="14" t="n"/>
      <c r="C589" s="21">
        <f>IF(B589="","",IFERROR(INDEX(Listas!$E$2:$E$10,MATCH(B589,Listas!$D$2:$D$10,0)),"?"))</f>
        <v/>
      </c>
      <c r="D589" s="14" t="n"/>
      <c r="E589" s="14" t="n"/>
      <c r="F589" s="21">
        <f>IF(AND(D589="",E589=""),"",D589*60+E589)</f>
        <v/>
      </c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</row>
    <row r="590">
      <c r="A590" s="14" t="n"/>
      <c r="B590" s="14" t="n"/>
      <c r="C590" s="21">
        <f>IF(B590="","",IFERROR(INDEX(Listas!$E$2:$E$10,MATCH(B590,Listas!$D$2:$D$10,0)),"?"))</f>
        <v/>
      </c>
      <c r="D590" s="14" t="n"/>
      <c r="E590" s="14" t="n"/>
      <c r="F590" s="21">
        <f>IF(AND(D590="",E590=""),"",D590*60+E590)</f>
        <v/>
      </c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</row>
    <row r="591">
      <c r="A591" s="14" t="n"/>
      <c r="B591" s="14" t="n"/>
      <c r="C591" s="21">
        <f>IF(B591="","",IFERROR(INDEX(Listas!$E$2:$E$10,MATCH(B591,Listas!$D$2:$D$10,0)),"?"))</f>
        <v/>
      </c>
      <c r="D591" s="14" t="n"/>
      <c r="E591" s="14" t="n"/>
      <c r="F591" s="21">
        <f>IF(AND(D591="",E591=""),"",D591*60+E591)</f>
        <v/>
      </c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</row>
    <row r="592">
      <c r="A592" s="14" t="n"/>
      <c r="B592" s="14" t="n"/>
      <c r="C592" s="21">
        <f>IF(B592="","",IFERROR(INDEX(Listas!$E$2:$E$10,MATCH(B592,Listas!$D$2:$D$10,0)),"?"))</f>
        <v/>
      </c>
      <c r="D592" s="14" t="n"/>
      <c r="E592" s="14" t="n"/>
      <c r="F592" s="21">
        <f>IF(AND(D592="",E592=""),"",D592*60+E592)</f>
        <v/>
      </c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</row>
    <row r="593">
      <c r="A593" s="14" t="n"/>
      <c r="B593" s="14" t="n"/>
      <c r="C593" s="21">
        <f>IF(B593="","",IFERROR(INDEX(Listas!$E$2:$E$10,MATCH(B593,Listas!$D$2:$D$10,0)),"?"))</f>
        <v/>
      </c>
      <c r="D593" s="14" t="n"/>
      <c r="E593" s="14" t="n"/>
      <c r="F593" s="21">
        <f>IF(AND(D593="",E593=""),"",D593*60+E593)</f>
        <v/>
      </c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</row>
    <row r="594">
      <c r="A594" s="14" t="n"/>
      <c r="B594" s="14" t="n"/>
      <c r="C594" s="21">
        <f>IF(B594="","",IFERROR(INDEX(Listas!$E$2:$E$10,MATCH(B594,Listas!$D$2:$D$10,0)),"?"))</f>
        <v/>
      </c>
      <c r="D594" s="14" t="n"/>
      <c r="E594" s="14" t="n"/>
      <c r="F594" s="21">
        <f>IF(AND(D594="",E594=""),"",D594*60+E594)</f>
        <v/>
      </c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</row>
    <row r="595">
      <c r="A595" s="14" t="n"/>
      <c r="B595" s="14" t="n"/>
      <c r="C595" s="21">
        <f>IF(B595="","",IFERROR(INDEX(Listas!$E$2:$E$10,MATCH(B595,Listas!$D$2:$D$10,0)),"?"))</f>
        <v/>
      </c>
      <c r="D595" s="14" t="n"/>
      <c r="E595" s="14" t="n"/>
      <c r="F595" s="21">
        <f>IF(AND(D595="",E595=""),"",D595*60+E595)</f>
        <v/>
      </c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</row>
    <row r="596">
      <c r="A596" s="14" t="n"/>
      <c r="B596" s="14" t="n"/>
      <c r="C596" s="21">
        <f>IF(B596="","",IFERROR(INDEX(Listas!$E$2:$E$10,MATCH(B596,Listas!$D$2:$D$10,0)),"?"))</f>
        <v/>
      </c>
      <c r="D596" s="14" t="n"/>
      <c r="E596" s="14" t="n"/>
      <c r="F596" s="21">
        <f>IF(AND(D596="",E596=""),"",D596*60+E596)</f>
        <v/>
      </c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</row>
    <row r="597">
      <c r="A597" s="14" t="n"/>
      <c r="B597" s="14" t="n"/>
      <c r="C597" s="21">
        <f>IF(B597="","",IFERROR(INDEX(Listas!$E$2:$E$10,MATCH(B597,Listas!$D$2:$D$10,0)),"?"))</f>
        <v/>
      </c>
      <c r="D597" s="14" t="n"/>
      <c r="E597" s="14" t="n"/>
      <c r="F597" s="21">
        <f>IF(AND(D597="",E597=""),"",D597*60+E597)</f>
        <v/>
      </c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</row>
    <row r="598">
      <c r="A598" s="14" t="n"/>
      <c r="B598" s="14" t="n"/>
      <c r="C598" s="21">
        <f>IF(B598="","",IFERROR(INDEX(Listas!$E$2:$E$10,MATCH(B598,Listas!$D$2:$D$10,0)),"?"))</f>
        <v/>
      </c>
      <c r="D598" s="14" t="n"/>
      <c r="E598" s="14" t="n"/>
      <c r="F598" s="21">
        <f>IF(AND(D598="",E598=""),"",D598*60+E598)</f>
        <v/>
      </c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</row>
    <row r="599">
      <c r="A599" s="14" t="n"/>
      <c r="B599" s="14" t="n"/>
      <c r="C599" s="21">
        <f>IF(B599="","",IFERROR(INDEX(Listas!$E$2:$E$10,MATCH(B599,Listas!$D$2:$D$10,0)),"?"))</f>
        <v/>
      </c>
      <c r="D599" s="14" t="n"/>
      <c r="E599" s="14" t="n"/>
      <c r="F599" s="21">
        <f>IF(AND(D599="",E599=""),"",D599*60+E599)</f>
        <v/>
      </c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</row>
    <row r="600">
      <c r="A600" s="14" t="n"/>
      <c r="B600" s="14" t="n"/>
      <c r="C600" s="21">
        <f>IF(B600="","",IFERROR(INDEX(Listas!$E$2:$E$10,MATCH(B600,Listas!$D$2:$D$10,0)),"?"))</f>
        <v/>
      </c>
      <c r="D600" s="14" t="n"/>
      <c r="E600" s="14" t="n"/>
      <c r="F600" s="21">
        <f>IF(AND(D600="",E600=""),"",D600*60+E600)</f>
        <v/>
      </c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</row>
    <row r="601">
      <c r="A601" s="14" t="n"/>
      <c r="B601" s="14" t="n"/>
      <c r="C601" s="21">
        <f>IF(B601="","",IFERROR(INDEX(Listas!$E$2:$E$10,MATCH(B601,Listas!$D$2:$D$10,0)),"?"))</f>
        <v/>
      </c>
      <c r="D601" s="14" t="n"/>
      <c r="E601" s="14" t="n"/>
      <c r="F601" s="21">
        <f>IF(AND(D601="",E601=""),"",D601*60+E601)</f>
        <v/>
      </c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</row>
    <row r="602">
      <c r="A602" s="14" t="n"/>
      <c r="B602" s="14" t="n"/>
      <c r="C602" s="21">
        <f>IF(B602="","",IFERROR(INDEX(Listas!$E$2:$E$10,MATCH(B602,Listas!$D$2:$D$10,0)),"?"))</f>
        <v/>
      </c>
      <c r="D602" s="14" t="n"/>
      <c r="E602" s="14" t="n"/>
      <c r="F602" s="21">
        <f>IF(AND(D602="",E602=""),"",D602*60+E602)</f>
        <v/>
      </c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</row>
    <row r="603">
      <c r="A603" s="14" t="n"/>
      <c r="B603" s="14" t="n"/>
      <c r="C603" s="21">
        <f>IF(B603="","",IFERROR(INDEX(Listas!$E$2:$E$10,MATCH(B603,Listas!$D$2:$D$10,0)),"?"))</f>
        <v/>
      </c>
      <c r="D603" s="14" t="n"/>
      <c r="E603" s="14" t="n"/>
      <c r="F603" s="21">
        <f>IF(AND(D603="",E603=""),"",D603*60+E603)</f>
        <v/>
      </c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</row>
    <row r="604">
      <c r="A604" s="14" t="n"/>
      <c r="B604" s="14" t="n"/>
      <c r="C604" s="21">
        <f>IF(B604="","",IFERROR(INDEX(Listas!$E$2:$E$10,MATCH(B604,Listas!$D$2:$D$10,0)),"?"))</f>
        <v/>
      </c>
      <c r="D604" s="14" t="n"/>
      <c r="E604" s="14" t="n"/>
      <c r="F604" s="21">
        <f>IF(AND(D604="",E604=""),"",D604*60+E604)</f>
        <v/>
      </c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</row>
    <row r="605">
      <c r="A605" s="14" t="n"/>
      <c r="B605" s="14" t="n"/>
      <c r="C605" s="21">
        <f>IF(B605="","",IFERROR(INDEX(Listas!$E$2:$E$10,MATCH(B605,Listas!$D$2:$D$10,0)),"?"))</f>
        <v/>
      </c>
      <c r="D605" s="14" t="n"/>
      <c r="E605" s="14" t="n"/>
      <c r="F605" s="21">
        <f>IF(AND(D605="",E605=""),"",D605*60+E605)</f>
        <v/>
      </c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</row>
    <row r="606">
      <c r="A606" s="14" t="n"/>
      <c r="B606" s="14" t="n"/>
      <c r="C606" s="21">
        <f>IF(B606="","",IFERROR(INDEX(Listas!$E$2:$E$10,MATCH(B606,Listas!$D$2:$D$10,0)),"?"))</f>
        <v/>
      </c>
      <c r="D606" s="14" t="n"/>
      <c r="E606" s="14" t="n"/>
      <c r="F606" s="21">
        <f>IF(AND(D606="",E606=""),"",D606*60+E606)</f>
        <v/>
      </c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</row>
    <row r="607">
      <c r="A607" s="14" t="n"/>
      <c r="B607" s="14" t="n"/>
      <c r="C607" s="21">
        <f>IF(B607="","",IFERROR(INDEX(Listas!$E$2:$E$10,MATCH(B607,Listas!$D$2:$D$10,0)),"?"))</f>
        <v/>
      </c>
      <c r="D607" s="14" t="n"/>
      <c r="E607" s="14" t="n"/>
      <c r="F607" s="21">
        <f>IF(AND(D607="",E607=""),"",D607*60+E607)</f>
        <v/>
      </c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</row>
    <row r="608">
      <c r="A608" s="14" t="n"/>
      <c r="B608" s="14" t="n"/>
      <c r="C608" s="21">
        <f>IF(B608="","",IFERROR(INDEX(Listas!$E$2:$E$10,MATCH(B608,Listas!$D$2:$D$10,0)),"?"))</f>
        <v/>
      </c>
      <c r="D608" s="14" t="n"/>
      <c r="E608" s="14" t="n"/>
      <c r="F608" s="21">
        <f>IF(AND(D608="",E608=""),"",D608*60+E608)</f>
        <v/>
      </c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</row>
    <row r="609">
      <c r="A609" s="14" t="n"/>
      <c r="B609" s="14" t="n"/>
      <c r="C609" s="21">
        <f>IF(B609="","",IFERROR(INDEX(Listas!$E$2:$E$10,MATCH(B609,Listas!$D$2:$D$10,0)),"?"))</f>
        <v/>
      </c>
      <c r="D609" s="14" t="n"/>
      <c r="E609" s="14" t="n"/>
      <c r="F609" s="21">
        <f>IF(AND(D609="",E609=""),"",D609*60+E609)</f>
        <v/>
      </c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</row>
    <row r="610">
      <c r="A610" s="14" t="n"/>
      <c r="B610" s="14" t="n"/>
      <c r="C610" s="21">
        <f>IF(B610="","",IFERROR(INDEX(Listas!$E$2:$E$10,MATCH(B610,Listas!$D$2:$D$10,0)),"?"))</f>
        <v/>
      </c>
      <c r="D610" s="14" t="n"/>
      <c r="E610" s="14" t="n"/>
      <c r="F610" s="21">
        <f>IF(AND(D610="",E610=""),"",D610*60+E610)</f>
        <v/>
      </c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</row>
    <row r="611">
      <c r="A611" s="14" t="n"/>
      <c r="B611" s="14" t="n"/>
      <c r="C611" s="21">
        <f>IF(B611="","",IFERROR(INDEX(Listas!$E$2:$E$10,MATCH(B611,Listas!$D$2:$D$10,0)),"?"))</f>
        <v/>
      </c>
      <c r="D611" s="14" t="n"/>
      <c r="E611" s="14" t="n"/>
      <c r="F611" s="21">
        <f>IF(AND(D611="",E611=""),"",D611*60+E611)</f>
        <v/>
      </c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</row>
    <row r="612">
      <c r="A612" s="14" t="n"/>
      <c r="B612" s="14" t="n"/>
      <c r="C612" s="21">
        <f>IF(B612="","",IFERROR(INDEX(Listas!$E$2:$E$10,MATCH(B612,Listas!$D$2:$D$10,0)),"?"))</f>
        <v/>
      </c>
      <c r="D612" s="14" t="n"/>
      <c r="E612" s="14" t="n"/>
      <c r="F612" s="21">
        <f>IF(AND(D612="",E612=""),"",D612*60+E612)</f>
        <v/>
      </c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</row>
    <row r="613">
      <c r="A613" s="14" t="n"/>
      <c r="B613" s="14" t="n"/>
      <c r="C613" s="21">
        <f>IF(B613="","",IFERROR(INDEX(Listas!$E$2:$E$10,MATCH(B613,Listas!$D$2:$D$10,0)),"?"))</f>
        <v/>
      </c>
      <c r="D613" s="14" t="n"/>
      <c r="E613" s="14" t="n"/>
      <c r="F613" s="21">
        <f>IF(AND(D613="",E613=""),"",D613*60+E613)</f>
        <v/>
      </c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</row>
    <row r="614">
      <c r="A614" s="14" t="n"/>
      <c r="B614" s="14" t="n"/>
      <c r="C614" s="21">
        <f>IF(B614="","",IFERROR(INDEX(Listas!$E$2:$E$10,MATCH(B614,Listas!$D$2:$D$10,0)),"?"))</f>
        <v/>
      </c>
      <c r="D614" s="14" t="n"/>
      <c r="E614" s="14" t="n"/>
      <c r="F614" s="21">
        <f>IF(AND(D614="",E614=""),"",D614*60+E614)</f>
        <v/>
      </c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</row>
    <row r="615">
      <c r="A615" s="14" t="n"/>
      <c r="B615" s="14" t="n"/>
      <c r="C615" s="21">
        <f>IF(B615="","",IFERROR(INDEX(Listas!$E$2:$E$10,MATCH(B615,Listas!$D$2:$D$10,0)),"?"))</f>
        <v/>
      </c>
      <c r="D615" s="14" t="n"/>
      <c r="E615" s="14" t="n"/>
      <c r="F615" s="21">
        <f>IF(AND(D615="",E615=""),"",D615*60+E615)</f>
        <v/>
      </c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</row>
    <row r="616">
      <c r="A616" s="14" t="n"/>
      <c r="B616" s="14" t="n"/>
      <c r="C616" s="21">
        <f>IF(B616="","",IFERROR(INDEX(Listas!$E$2:$E$10,MATCH(B616,Listas!$D$2:$D$10,0)),"?"))</f>
        <v/>
      </c>
      <c r="D616" s="14" t="n"/>
      <c r="E616" s="14" t="n"/>
      <c r="F616" s="21">
        <f>IF(AND(D616="",E616=""),"",D616*60+E616)</f>
        <v/>
      </c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</row>
    <row r="617">
      <c r="A617" s="14" t="n"/>
      <c r="B617" s="14" t="n"/>
      <c r="C617" s="21">
        <f>IF(B617="","",IFERROR(INDEX(Listas!$E$2:$E$10,MATCH(B617,Listas!$D$2:$D$10,0)),"?"))</f>
        <v/>
      </c>
      <c r="D617" s="14" t="n"/>
      <c r="E617" s="14" t="n"/>
      <c r="F617" s="21">
        <f>IF(AND(D617="",E617=""),"",D617*60+E617)</f>
        <v/>
      </c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</row>
    <row r="618">
      <c r="A618" s="14" t="n"/>
      <c r="B618" s="14" t="n"/>
      <c r="C618" s="21">
        <f>IF(B618="","",IFERROR(INDEX(Listas!$E$2:$E$10,MATCH(B618,Listas!$D$2:$D$10,0)),"?"))</f>
        <v/>
      </c>
      <c r="D618" s="14" t="n"/>
      <c r="E618" s="14" t="n"/>
      <c r="F618" s="21">
        <f>IF(AND(D618="",E618=""),"",D618*60+E618)</f>
        <v/>
      </c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</row>
    <row r="619">
      <c r="A619" s="14" t="n"/>
      <c r="B619" s="14" t="n"/>
      <c r="C619" s="21">
        <f>IF(B619="","",IFERROR(INDEX(Listas!$E$2:$E$10,MATCH(B619,Listas!$D$2:$D$10,0)),"?"))</f>
        <v/>
      </c>
      <c r="D619" s="14" t="n"/>
      <c r="E619" s="14" t="n"/>
      <c r="F619" s="21">
        <f>IF(AND(D619="",E619=""),"",D619*60+E619)</f>
        <v/>
      </c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</row>
    <row r="620">
      <c r="A620" s="14" t="n"/>
      <c r="B620" s="14" t="n"/>
      <c r="C620" s="21">
        <f>IF(B620="","",IFERROR(INDEX(Listas!$E$2:$E$10,MATCH(B620,Listas!$D$2:$D$10,0)),"?"))</f>
        <v/>
      </c>
      <c r="D620" s="14" t="n"/>
      <c r="E620" s="14" t="n"/>
      <c r="F620" s="21">
        <f>IF(AND(D620="",E620=""),"",D620*60+E620)</f>
        <v/>
      </c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</row>
    <row r="621">
      <c r="A621" s="14" t="n"/>
      <c r="B621" s="14" t="n"/>
      <c r="C621" s="21">
        <f>IF(B621="","",IFERROR(INDEX(Listas!$E$2:$E$10,MATCH(B621,Listas!$D$2:$D$10,0)),"?"))</f>
        <v/>
      </c>
      <c r="D621" s="14" t="n"/>
      <c r="E621" s="14" t="n"/>
      <c r="F621" s="21">
        <f>IF(AND(D621="",E621=""),"",D621*60+E621)</f>
        <v/>
      </c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</row>
    <row r="622">
      <c r="A622" s="14" t="n"/>
      <c r="B622" s="14" t="n"/>
      <c r="C622" s="21">
        <f>IF(B622="","",IFERROR(INDEX(Listas!$E$2:$E$10,MATCH(B622,Listas!$D$2:$D$10,0)),"?"))</f>
        <v/>
      </c>
      <c r="D622" s="14" t="n"/>
      <c r="E622" s="14" t="n"/>
      <c r="F622" s="21">
        <f>IF(AND(D622="",E622=""),"",D622*60+E622)</f>
        <v/>
      </c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</row>
    <row r="623">
      <c r="A623" s="14" t="n"/>
      <c r="B623" s="14" t="n"/>
      <c r="C623" s="21">
        <f>IF(B623="","",IFERROR(INDEX(Listas!$E$2:$E$10,MATCH(B623,Listas!$D$2:$D$10,0)),"?"))</f>
        <v/>
      </c>
      <c r="D623" s="14" t="n"/>
      <c r="E623" s="14" t="n"/>
      <c r="F623" s="21">
        <f>IF(AND(D623="",E623=""),"",D623*60+E623)</f>
        <v/>
      </c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</row>
    <row r="624">
      <c r="A624" s="14" t="n"/>
      <c r="B624" s="14" t="n"/>
      <c r="C624" s="21">
        <f>IF(B624="","",IFERROR(INDEX(Listas!$E$2:$E$10,MATCH(B624,Listas!$D$2:$D$10,0)),"?"))</f>
        <v/>
      </c>
      <c r="D624" s="14" t="n"/>
      <c r="E624" s="14" t="n"/>
      <c r="F624" s="21">
        <f>IF(AND(D624="",E624=""),"",D624*60+E624)</f>
        <v/>
      </c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</row>
    <row r="625">
      <c r="A625" s="14" t="n"/>
      <c r="B625" s="14" t="n"/>
      <c r="C625" s="21">
        <f>IF(B625="","",IFERROR(INDEX(Listas!$E$2:$E$10,MATCH(B625,Listas!$D$2:$D$10,0)),"?"))</f>
        <v/>
      </c>
      <c r="D625" s="14" t="n"/>
      <c r="E625" s="14" t="n"/>
      <c r="F625" s="21">
        <f>IF(AND(D625="",E625=""),"",D625*60+E625)</f>
        <v/>
      </c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</row>
    <row r="626">
      <c r="A626" s="14" t="n"/>
      <c r="B626" s="14" t="n"/>
      <c r="C626" s="21">
        <f>IF(B626="","",IFERROR(INDEX(Listas!$E$2:$E$10,MATCH(B626,Listas!$D$2:$D$10,0)),"?"))</f>
        <v/>
      </c>
      <c r="D626" s="14" t="n"/>
      <c r="E626" s="14" t="n"/>
      <c r="F626" s="21">
        <f>IF(AND(D626="",E626=""),"",D626*60+E626)</f>
        <v/>
      </c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</row>
    <row r="627">
      <c r="A627" s="14" t="n"/>
      <c r="B627" s="14" t="n"/>
      <c r="C627" s="21">
        <f>IF(B627="","",IFERROR(INDEX(Listas!$E$2:$E$10,MATCH(B627,Listas!$D$2:$D$10,0)),"?"))</f>
        <v/>
      </c>
      <c r="D627" s="14" t="n"/>
      <c r="E627" s="14" t="n"/>
      <c r="F627" s="21">
        <f>IF(AND(D627="",E627=""),"",D627*60+E627)</f>
        <v/>
      </c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</row>
    <row r="628">
      <c r="A628" s="14" t="n"/>
      <c r="B628" s="14" t="n"/>
      <c r="C628" s="21">
        <f>IF(B628="","",IFERROR(INDEX(Listas!$E$2:$E$10,MATCH(B628,Listas!$D$2:$D$10,0)),"?"))</f>
        <v/>
      </c>
      <c r="D628" s="14" t="n"/>
      <c r="E628" s="14" t="n"/>
      <c r="F628" s="21">
        <f>IF(AND(D628="",E628=""),"",D628*60+E628)</f>
        <v/>
      </c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</row>
    <row r="629">
      <c r="A629" s="14" t="n"/>
      <c r="B629" s="14" t="n"/>
      <c r="C629" s="21">
        <f>IF(B629="","",IFERROR(INDEX(Listas!$E$2:$E$10,MATCH(B629,Listas!$D$2:$D$10,0)),"?"))</f>
        <v/>
      </c>
      <c r="D629" s="14" t="n"/>
      <c r="E629" s="14" t="n"/>
      <c r="F629" s="21">
        <f>IF(AND(D629="",E629=""),"",D629*60+E629)</f>
        <v/>
      </c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</row>
    <row r="630">
      <c r="A630" s="14" t="n"/>
      <c r="B630" s="14" t="n"/>
      <c r="C630" s="21">
        <f>IF(B630="","",IFERROR(INDEX(Listas!$E$2:$E$10,MATCH(B630,Listas!$D$2:$D$10,0)),"?"))</f>
        <v/>
      </c>
      <c r="D630" s="14" t="n"/>
      <c r="E630" s="14" t="n"/>
      <c r="F630" s="21">
        <f>IF(AND(D630="",E630=""),"",D630*60+E630)</f>
        <v/>
      </c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</row>
    <row r="631">
      <c r="A631" s="14" t="n"/>
      <c r="B631" s="14" t="n"/>
      <c r="C631" s="21">
        <f>IF(B631="","",IFERROR(INDEX(Listas!$E$2:$E$10,MATCH(B631,Listas!$D$2:$D$10,0)),"?"))</f>
        <v/>
      </c>
      <c r="D631" s="14" t="n"/>
      <c r="E631" s="14" t="n"/>
      <c r="F631" s="21">
        <f>IF(AND(D631="",E631=""),"",D631*60+E631)</f>
        <v/>
      </c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</row>
    <row r="632">
      <c r="A632" s="14" t="n"/>
      <c r="B632" s="14" t="n"/>
      <c r="C632" s="21">
        <f>IF(B632="","",IFERROR(INDEX(Listas!$E$2:$E$10,MATCH(B632,Listas!$D$2:$D$10,0)),"?"))</f>
        <v/>
      </c>
      <c r="D632" s="14" t="n"/>
      <c r="E632" s="14" t="n"/>
      <c r="F632" s="21">
        <f>IF(AND(D632="",E632=""),"",D632*60+E632)</f>
        <v/>
      </c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</row>
    <row r="633">
      <c r="A633" s="14" t="n"/>
      <c r="B633" s="14" t="n"/>
      <c r="C633" s="21">
        <f>IF(B633="","",IFERROR(INDEX(Listas!$E$2:$E$10,MATCH(B633,Listas!$D$2:$D$10,0)),"?"))</f>
        <v/>
      </c>
      <c r="D633" s="14" t="n"/>
      <c r="E633" s="14" t="n"/>
      <c r="F633" s="21">
        <f>IF(AND(D633="",E633=""),"",D633*60+E633)</f>
        <v/>
      </c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</row>
    <row r="634">
      <c r="A634" s="14" t="n"/>
      <c r="B634" s="14" t="n"/>
      <c r="C634" s="21">
        <f>IF(B634="","",IFERROR(INDEX(Listas!$E$2:$E$10,MATCH(B634,Listas!$D$2:$D$10,0)),"?"))</f>
        <v/>
      </c>
      <c r="D634" s="14" t="n"/>
      <c r="E634" s="14" t="n"/>
      <c r="F634" s="21">
        <f>IF(AND(D634="",E634=""),"",D634*60+E634)</f>
        <v/>
      </c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</row>
    <row r="635">
      <c r="A635" s="14" t="n"/>
      <c r="B635" s="14" t="n"/>
      <c r="C635" s="21">
        <f>IF(B635="","",IFERROR(INDEX(Listas!$E$2:$E$10,MATCH(B635,Listas!$D$2:$D$10,0)),"?"))</f>
        <v/>
      </c>
      <c r="D635" s="14" t="n"/>
      <c r="E635" s="14" t="n"/>
      <c r="F635" s="21">
        <f>IF(AND(D635="",E635=""),"",D635*60+E635)</f>
        <v/>
      </c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</row>
    <row r="636">
      <c r="A636" s="14" t="n"/>
      <c r="B636" s="14" t="n"/>
      <c r="C636" s="21">
        <f>IF(B636="","",IFERROR(INDEX(Listas!$E$2:$E$10,MATCH(B636,Listas!$D$2:$D$10,0)),"?"))</f>
        <v/>
      </c>
      <c r="D636" s="14" t="n"/>
      <c r="E636" s="14" t="n"/>
      <c r="F636" s="21">
        <f>IF(AND(D636="",E636=""),"",D636*60+E636)</f>
        <v/>
      </c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</row>
    <row r="637">
      <c r="A637" s="14" t="n"/>
      <c r="B637" s="14" t="n"/>
      <c r="C637" s="21">
        <f>IF(B637="","",IFERROR(INDEX(Listas!$E$2:$E$10,MATCH(B637,Listas!$D$2:$D$10,0)),"?"))</f>
        <v/>
      </c>
      <c r="D637" s="14" t="n"/>
      <c r="E637" s="14" t="n"/>
      <c r="F637" s="21">
        <f>IF(AND(D637="",E637=""),"",D637*60+E637)</f>
        <v/>
      </c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</row>
    <row r="638">
      <c r="A638" s="14" t="n"/>
      <c r="B638" s="14" t="n"/>
      <c r="C638" s="21">
        <f>IF(B638="","",IFERROR(INDEX(Listas!$E$2:$E$10,MATCH(B638,Listas!$D$2:$D$10,0)),"?"))</f>
        <v/>
      </c>
      <c r="D638" s="14" t="n"/>
      <c r="E638" s="14" t="n"/>
      <c r="F638" s="21">
        <f>IF(AND(D638="",E638=""),"",D638*60+E638)</f>
        <v/>
      </c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</row>
    <row r="639">
      <c r="A639" s="14" t="n"/>
      <c r="B639" s="14" t="n"/>
      <c r="C639" s="21">
        <f>IF(B639="","",IFERROR(INDEX(Listas!$E$2:$E$10,MATCH(B639,Listas!$D$2:$D$10,0)),"?"))</f>
        <v/>
      </c>
      <c r="D639" s="14" t="n"/>
      <c r="E639" s="14" t="n"/>
      <c r="F639" s="21">
        <f>IF(AND(D639="",E639=""),"",D639*60+E639)</f>
        <v/>
      </c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</row>
    <row r="640">
      <c r="A640" s="14" t="n"/>
      <c r="B640" s="14" t="n"/>
      <c r="C640" s="21">
        <f>IF(B640="","",IFERROR(INDEX(Listas!$E$2:$E$10,MATCH(B640,Listas!$D$2:$D$10,0)),"?"))</f>
        <v/>
      </c>
      <c r="D640" s="14" t="n"/>
      <c r="E640" s="14" t="n"/>
      <c r="F640" s="21">
        <f>IF(AND(D640="",E640=""),"",D640*60+E640)</f>
        <v/>
      </c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</row>
    <row r="641">
      <c r="A641" s="14" t="n"/>
      <c r="B641" s="14" t="n"/>
      <c r="C641" s="21">
        <f>IF(B641="","",IFERROR(INDEX(Listas!$E$2:$E$10,MATCH(B641,Listas!$D$2:$D$10,0)),"?"))</f>
        <v/>
      </c>
      <c r="D641" s="14" t="n"/>
      <c r="E641" s="14" t="n"/>
      <c r="F641" s="21">
        <f>IF(AND(D641="",E641=""),"",D641*60+E641)</f>
        <v/>
      </c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</row>
    <row r="642">
      <c r="A642" s="14" t="n"/>
      <c r="B642" s="14" t="n"/>
      <c r="C642" s="21">
        <f>IF(B642="","",IFERROR(INDEX(Listas!$E$2:$E$10,MATCH(B642,Listas!$D$2:$D$10,0)),"?"))</f>
        <v/>
      </c>
      <c r="D642" s="14" t="n"/>
      <c r="E642" s="14" t="n"/>
      <c r="F642" s="21">
        <f>IF(AND(D642="",E642=""),"",D642*60+E642)</f>
        <v/>
      </c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</row>
    <row r="643">
      <c r="A643" s="14" t="n"/>
      <c r="B643" s="14" t="n"/>
      <c r="C643" s="21">
        <f>IF(B643="","",IFERROR(INDEX(Listas!$E$2:$E$10,MATCH(B643,Listas!$D$2:$D$10,0)),"?"))</f>
        <v/>
      </c>
      <c r="D643" s="14" t="n"/>
      <c r="E643" s="14" t="n"/>
      <c r="F643" s="21">
        <f>IF(AND(D643="",E643=""),"",D643*60+E643)</f>
        <v/>
      </c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</row>
    <row r="644">
      <c r="A644" s="14" t="n"/>
      <c r="B644" s="14" t="n"/>
      <c r="C644" s="21">
        <f>IF(B644="","",IFERROR(INDEX(Listas!$E$2:$E$10,MATCH(B644,Listas!$D$2:$D$10,0)),"?"))</f>
        <v/>
      </c>
      <c r="D644" s="14" t="n"/>
      <c r="E644" s="14" t="n"/>
      <c r="F644" s="21">
        <f>IF(AND(D644="",E644=""),"",D644*60+E644)</f>
        <v/>
      </c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</row>
    <row r="645">
      <c r="A645" s="14" t="n"/>
      <c r="B645" s="14" t="n"/>
      <c r="C645" s="21">
        <f>IF(B645="","",IFERROR(INDEX(Listas!$E$2:$E$10,MATCH(B645,Listas!$D$2:$D$10,0)),"?"))</f>
        <v/>
      </c>
      <c r="D645" s="14" t="n"/>
      <c r="E645" s="14" t="n"/>
      <c r="F645" s="21">
        <f>IF(AND(D645="",E645=""),"",D645*60+E645)</f>
        <v/>
      </c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</row>
    <row r="646">
      <c r="A646" s="14" t="n"/>
      <c r="B646" s="14" t="n"/>
      <c r="C646" s="21">
        <f>IF(B646="","",IFERROR(INDEX(Listas!$E$2:$E$10,MATCH(B646,Listas!$D$2:$D$10,0)),"?"))</f>
        <v/>
      </c>
      <c r="D646" s="14" t="n"/>
      <c r="E646" s="14" t="n"/>
      <c r="F646" s="21">
        <f>IF(AND(D646="",E646=""),"",D646*60+E646)</f>
        <v/>
      </c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</row>
    <row r="647">
      <c r="A647" s="14" t="n"/>
      <c r="B647" s="14" t="n"/>
      <c r="C647" s="21">
        <f>IF(B647="","",IFERROR(INDEX(Listas!$E$2:$E$10,MATCH(B647,Listas!$D$2:$D$10,0)),"?"))</f>
        <v/>
      </c>
      <c r="D647" s="14" t="n"/>
      <c r="E647" s="14" t="n"/>
      <c r="F647" s="21">
        <f>IF(AND(D647="",E647=""),"",D647*60+E647)</f>
        <v/>
      </c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</row>
    <row r="648">
      <c r="A648" s="14" t="n"/>
      <c r="B648" s="14" t="n"/>
      <c r="C648" s="21">
        <f>IF(B648="","",IFERROR(INDEX(Listas!$E$2:$E$10,MATCH(B648,Listas!$D$2:$D$10,0)),"?"))</f>
        <v/>
      </c>
      <c r="D648" s="14" t="n"/>
      <c r="E648" s="14" t="n"/>
      <c r="F648" s="21">
        <f>IF(AND(D648="",E648=""),"",D648*60+E648)</f>
        <v/>
      </c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</row>
    <row r="649">
      <c r="A649" s="14" t="n"/>
      <c r="B649" s="14" t="n"/>
      <c r="C649" s="21">
        <f>IF(B649="","",IFERROR(INDEX(Listas!$E$2:$E$10,MATCH(B649,Listas!$D$2:$D$10,0)),"?"))</f>
        <v/>
      </c>
      <c r="D649" s="14" t="n"/>
      <c r="E649" s="14" t="n"/>
      <c r="F649" s="21">
        <f>IF(AND(D649="",E649=""),"",D649*60+E649)</f>
        <v/>
      </c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</row>
    <row r="650">
      <c r="A650" s="14" t="n"/>
      <c r="B650" s="14" t="n"/>
      <c r="C650" s="21">
        <f>IF(B650="","",IFERROR(INDEX(Listas!$E$2:$E$10,MATCH(B650,Listas!$D$2:$D$10,0)),"?"))</f>
        <v/>
      </c>
      <c r="D650" s="14" t="n"/>
      <c r="E650" s="14" t="n"/>
      <c r="F650" s="21">
        <f>IF(AND(D650="",E650=""),"",D650*60+E650)</f>
        <v/>
      </c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</row>
    <row r="651">
      <c r="A651" s="14" t="n"/>
      <c r="B651" s="14" t="n"/>
      <c r="C651" s="21">
        <f>IF(B651="","",IFERROR(INDEX(Listas!$E$2:$E$10,MATCH(B651,Listas!$D$2:$D$10,0)),"?"))</f>
        <v/>
      </c>
      <c r="D651" s="14" t="n"/>
      <c r="E651" s="14" t="n"/>
      <c r="F651" s="21">
        <f>IF(AND(D651="",E651=""),"",D651*60+E651)</f>
        <v/>
      </c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</row>
    <row r="652">
      <c r="A652" s="14" t="n"/>
      <c r="B652" s="14" t="n"/>
      <c r="C652" s="21">
        <f>IF(B652="","",IFERROR(INDEX(Listas!$E$2:$E$10,MATCH(B652,Listas!$D$2:$D$10,0)),"?"))</f>
        <v/>
      </c>
      <c r="D652" s="14" t="n"/>
      <c r="E652" s="14" t="n"/>
      <c r="F652" s="21">
        <f>IF(AND(D652="",E652=""),"",D652*60+E652)</f>
        <v/>
      </c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</row>
    <row r="653">
      <c r="A653" s="14" t="n"/>
      <c r="B653" s="14" t="n"/>
      <c r="C653" s="21">
        <f>IF(B653="","",IFERROR(INDEX(Listas!$E$2:$E$10,MATCH(B653,Listas!$D$2:$D$10,0)),"?"))</f>
        <v/>
      </c>
      <c r="D653" s="14" t="n"/>
      <c r="E653" s="14" t="n"/>
      <c r="F653" s="21">
        <f>IF(AND(D653="",E653=""),"",D653*60+E653)</f>
        <v/>
      </c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</row>
    <row r="654">
      <c r="A654" s="14" t="n"/>
      <c r="B654" s="14" t="n"/>
      <c r="C654" s="21">
        <f>IF(B654="","",IFERROR(INDEX(Listas!$E$2:$E$10,MATCH(B654,Listas!$D$2:$D$10,0)),"?"))</f>
        <v/>
      </c>
      <c r="D654" s="14" t="n"/>
      <c r="E654" s="14" t="n"/>
      <c r="F654" s="21">
        <f>IF(AND(D654="",E654=""),"",D654*60+E654)</f>
        <v/>
      </c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</row>
    <row r="655">
      <c r="A655" s="14" t="n"/>
      <c r="B655" s="14" t="n"/>
      <c r="C655" s="21">
        <f>IF(B655="","",IFERROR(INDEX(Listas!$E$2:$E$10,MATCH(B655,Listas!$D$2:$D$10,0)),"?"))</f>
        <v/>
      </c>
      <c r="D655" s="14" t="n"/>
      <c r="E655" s="14" t="n"/>
      <c r="F655" s="21">
        <f>IF(AND(D655="",E655=""),"",D655*60+E655)</f>
        <v/>
      </c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</row>
    <row r="656">
      <c r="A656" s="14" t="n"/>
      <c r="B656" s="14" t="n"/>
      <c r="C656" s="21">
        <f>IF(B656="","",IFERROR(INDEX(Listas!$E$2:$E$10,MATCH(B656,Listas!$D$2:$D$10,0)),"?"))</f>
        <v/>
      </c>
      <c r="D656" s="14" t="n"/>
      <c r="E656" s="14" t="n"/>
      <c r="F656" s="21">
        <f>IF(AND(D656="",E656=""),"",D656*60+E656)</f>
        <v/>
      </c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</row>
    <row r="657">
      <c r="A657" s="14" t="n"/>
      <c r="B657" s="14" t="n"/>
      <c r="C657" s="21">
        <f>IF(B657="","",IFERROR(INDEX(Listas!$E$2:$E$10,MATCH(B657,Listas!$D$2:$D$10,0)),"?"))</f>
        <v/>
      </c>
      <c r="D657" s="14" t="n"/>
      <c r="E657" s="14" t="n"/>
      <c r="F657" s="21">
        <f>IF(AND(D657="",E657=""),"",D657*60+E657)</f>
        <v/>
      </c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</row>
    <row r="658">
      <c r="A658" s="14" t="n"/>
      <c r="B658" s="14" t="n"/>
      <c r="C658" s="21">
        <f>IF(B658="","",IFERROR(INDEX(Listas!$E$2:$E$10,MATCH(B658,Listas!$D$2:$D$10,0)),"?"))</f>
        <v/>
      </c>
      <c r="D658" s="14" t="n"/>
      <c r="E658" s="14" t="n"/>
      <c r="F658" s="21">
        <f>IF(AND(D658="",E658=""),"",D658*60+E658)</f>
        <v/>
      </c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</row>
    <row r="659">
      <c r="A659" s="14" t="n"/>
      <c r="B659" s="14" t="n"/>
      <c r="C659" s="21">
        <f>IF(B659="","",IFERROR(INDEX(Listas!$E$2:$E$10,MATCH(B659,Listas!$D$2:$D$10,0)),"?"))</f>
        <v/>
      </c>
      <c r="D659" s="14" t="n"/>
      <c r="E659" s="14" t="n"/>
      <c r="F659" s="21">
        <f>IF(AND(D659="",E659=""),"",D659*60+E659)</f>
        <v/>
      </c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</row>
    <row r="660">
      <c r="A660" s="14" t="n"/>
      <c r="B660" s="14" t="n"/>
      <c r="C660" s="21">
        <f>IF(B660="","",IFERROR(INDEX(Listas!$E$2:$E$10,MATCH(B660,Listas!$D$2:$D$10,0)),"?"))</f>
        <v/>
      </c>
      <c r="D660" s="14" t="n"/>
      <c r="E660" s="14" t="n"/>
      <c r="F660" s="21">
        <f>IF(AND(D660="",E660=""),"",D660*60+E660)</f>
        <v/>
      </c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</row>
    <row r="661">
      <c r="A661" s="14" t="n"/>
      <c r="B661" s="14" t="n"/>
      <c r="C661" s="21">
        <f>IF(B661="","",IFERROR(INDEX(Listas!$E$2:$E$10,MATCH(B661,Listas!$D$2:$D$10,0)),"?"))</f>
        <v/>
      </c>
      <c r="D661" s="14" t="n"/>
      <c r="E661" s="14" t="n"/>
      <c r="F661" s="21">
        <f>IF(AND(D661="",E661=""),"",D661*60+E661)</f>
        <v/>
      </c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</row>
    <row r="662">
      <c r="A662" s="14" t="n"/>
      <c r="B662" s="14" t="n"/>
      <c r="C662" s="21">
        <f>IF(B662="","",IFERROR(INDEX(Listas!$E$2:$E$10,MATCH(B662,Listas!$D$2:$D$10,0)),"?"))</f>
        <v/>
      </c>
      <c r="D662" s="14" t="n"/>
      <c r="E662" s="14" t="n"/>
      <c r="F662" s="21">
        <f>IF(AND(D662="",E662=""),"",D662*60+E662)</f>
        <v/>
      </c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</row>
    <row r="663">
      <c r="A663" s="14" t="n"/>
      <c r="B663" s="14" t="n"/>
      <c r="C663" s="21">
        <f>IF(B663="","",IFERROR(INDEX(Listas!$E$2:$E$10,MATCH(B663,Listas!$D$2:$D$10,0)),"?"))</f>
        <v/>
      </c>
      <c r="D663" s="14" t="n"/>
      <c r="E663" s="14" t="n"/>
      <c r="F663" s="21">
        <f>IF(AND(D663="",E663=""),"",D663*60+E663)</f>
        <v/>
      </c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</row>
    <row r="664">
      <c r="A664" s="14" t="n"/>
      <c r="B664" s="14" t="n"/>
      <c r="C664" s="21">
        <f>IF(B664="","",IFERROR(INDEX(Listas!$E$2:$E$10,MATCH(B664,Listas!$D$2:$D$10,0)),"?"))</f>
        <v/>
      </c>
      <c r="D664" s="14" t="n"/>
      <c r="E664" s="14" t="n"/>
      <c r="F664" s="21">
        <f>IF(AND(D664="",E664=""),"",D664*60+E664)</f>
        <v/>
      </c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</row>
    <row r="665">
      <c r="A665" s="14" t="n"/>
      <c r="B665" s="14" t="n"/>
      <c r="C665" s="21">
        <f>IF(B665="","",IFERROR(INDEX(Listas!$E$2:$E$10,MATCH(B665,Listas!$D$2:$D$10,0)),"?"))</f>
        <v/>
      </c>
      <c r="D665" s="14" t="n"/>
      <c r="E665" s="14" t="n"/>
      <c r="F665" s="21">
        <f>IF(AND(D665="",E665=""),"",D665*60+E665)</f>
        <v/>
      </c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</row>
    <row r="666">
      <c r="A666" s="14" t="n"/>
      <c r="B666" s="14" t="n"/>
      <c r="C666" s="21">
        <f>IF(B666="","",IFERROR(INDEX(Listas!$E$2:$E$10,MATCH(B666,Listas!$D$2:$D$10,0)),"?"))</f>
        <v/>
      </c>
      <c r="D666" s="14" t="n"/>
      <c r="E666" s="14" t="n"/>
      <c r="F666" s="21">
        <f>IF(AND(D666="",E666=""),"",D666*60+E666)</f>
        <v/>
      </c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</row>
    <row r="667">
      <c r="A667" s="14" t="n"/>
      <c r="B667" s="14" t="n"/>
      <c r="C667" s="21">
        <f>IF(B667="","",IFERROR(INDEX(Listas!$E$2:$E$10,MATCH(B667,Listas!$D$2:$D$10,0)),"?"))</f>
        <v/>
      </c>
      <c r="D667" s="14" t="n"/>
      <c r="E667" s="14" t="n"/>
      <c r="F667" s="21">
        <f>IF(AND(D667="",E667=""),"",D667*60+E667)</f>
        <v/>
      </c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</row>
    <row r="668">
      <c r="A668" s="14" t="n"/>
      <c r="B668" s="14" t="n"/>
      <c r="C668" s="21">
        <f>IF(B668="","",IFERROR(INDEX(Listas!$E$2:$E$10,MATCH(B668,Listas!$D$2:$D$10,0)),"?"))</f>
        <v/>
      </c>
      <c r="D668" s="14" t="n"/>
      <c r="E668" s="14" t="n"/>
      <c r="F668" s="21">
        <f>IF(AND(D668="",E668=""),"",D668*60+E668)</f>
        <v/>
      </c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</row>
    <row r="669">
      <c r="A669" s="14" t="n"/>
      <c r="B669" s="14" t="n"/>
      <c r="C669" s="21">
        <f>IF(B669="","",IFERROR(INDEX(Listas!$E$2:$E$10,MATCH(B669,Listas!$D$2:$D$10,0)),"?"))</f>
        <v/>
      </c>
      <c r="D669" s="14" t="n"/>
      <c r="E669" s="14" t="n"/>
      <c r="F669" s="21">
        <f>IF(AND(D669="",E669=""),"",D669*60+E669)</f>
        <v/>
      </c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</row>
    <row r="670">
      <c r="A670" s="14" t="n"/>
      <c r="B670" s="14" t="n"/>
      <c r="C670" s="21">
        <f>IF(B670="","",IFERROR(INDEX(Listas!$E$2:$E$10,MATCH(B670,Listas!$D$2:$D$10,0)),"?"))</f>
        <v/>
      </c>
      <c r="D670" s="14" t="n"/>
      <c r="E670" s="14" t="n"/>
      <c r="F670" s="21">
        <f>IF(AND(D670="",E670=""),"",D670*60+E670)</f>
        <v/>
      </c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</row>
    <row r="671">
      <c r="A671" s="14" t="n"/>
      <c r="B671" s="14" t="n"/>
      <c r="C671" s="21">
        <f>IF(B671="","",IFERROR(INDEX(Listas!$E$2:$E$10,MATCH(B671,Listas!$D$2:$D$10,0)),"?"))</f>
        <v/>
      </c>
      <c r="D671" s="14" t="n"/>
      <c r="E671" s="14" t="n"/>
      <c r="F671" s="21">
        <f>IF(AND(D671="",E671=""),"",D671*60+E671)</f>
        <v/>
      </c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</row>
    <row r="672">
      <c r="A672" s="14" t="n"/>
      <c r="B672" s="14" t="n"/>
      <c r="C672" s="21">
        <f>IF(B672="","",IFERROR(INDEX(Listas!$E$2:$E$10,MATCH(B672,Listas!$D$2:$D$10,0)),"?"))</f>
        <v/>
      </c>
      <c r="D672" s="14" t="n"/>
      <c r="E672" s="14" t="n"/>
      <c r="F672" s="21">
        <f>IF(AND(D672="",E672=""),"",D672*60+E672)</f>
        <v/>
      </c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</row>
    <row r="673">
      <c r="A673" s="14" t="n"/>
      <c r="B673" s="14" t="n"/>
      <c r="C673" s="21">
        <f>IF(B673="","",IFERROR(INDEX(Listas!$E$2:$E$10,MATCH(B673,Listas!$D$2:$D$10,0)),"?"))</f>
        <v/>
      </c>
      <c r="D673" s="14" t="n"/>
      <c r="E673" s="14" t="n"/>
      <c r="F673" s="21">
        <f>IF(AND(D673="",E673=""),"",D673*60+E673)</f>
        <v/>
      </c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</row>
    <row r="674">
      <c r="A674" s="14" t="n"/>
      <c r="B674" s="14" t="n"/>
      <c r="C674" s="21">
        <f>IF(B674="","",IFERROR(INDEX(Listas!$E$2:$E$10,MATCH(B674,Listas!$D$2:$D$10,0)),"?"))</f>
        <v/>
      </c>
      <c r="D674" s="14" t="n"/>
      <c r="E674" s="14" t="n"/>
      <c r="F674" s="21">
        <f>IF(AND(D674="",E674=""),"",D674*60+E674)</f>
        <v/>
      </c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</row>
    <row r="675">
      <c r="A675" s="14" t="n"/>
      <c r="B675" s="14" t="n"/>
      <c r="C675" s="21">
        <f>IF(B675="","",IFERROR(INDEX(Listas!$E$2:$E$10,MATCH(B675,Listas!$D$2:$D$10,0)),"?"))</f>
        <v/>
      </c>
      <c r="D675" s="14" t="n"/>
      <c r="E675" s="14" t="n"/>
      <c r="F675" s="21">
        <f>IF(AND(D675="",E675=""),"",D675*60+E675)</f>
        <v/>
      </c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</row>
    <row r="676">
      <c r="A676" s="14" t="n"/>
      <c r="B676" s="14" t="n"/>
      <c r="C676" s="21">
        <f>IF(B676="","",IFERROR(INDEX(Listas!$E$2:$E$10,MATCH(B676,Listas!$D$2:$D$10,0)),"?"))</f>
        <v/>
      </c>
      <c r="D676" s="14" t="n"/>
      <c r="E676" s="14" t="n"/>
      <c r="F676" s="21">
        <f>IF(AND(D676="",E676=""),"",D676*60+E676)</f>
        <v/>
      </c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</row>
    <row r="677">
      <c r="A677" s="14" t="n"/>
      <c r="B677" s="14" t="n"/>
      <c r="C677" s="21">
        <f>IF(B677="","",IFERROR(INDEX(Listas!$E$2:$E$10,MATCH(B677,Listas!$D$2:$D$10,0)),"?"))</f>
        <v/>
      </c>
      <c r="D677" s="14" t="n"/>
      <c r="E677" s="14" t="n"/>
      <c r="F677" s="21">
        <f>IF(AND(D677="",E677=""),"",D677*60+E677)</f>
        <v/>
      </c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</row>
    <row r="678">
      <c r="A678" s="14" t="n"/>
      <c r="B678" s="14" t="n"/>
      <c r="C678" s="21">
        <f>IF(B678="","",IFERROR(INDEX(Listas!$E$2:$E$10,MATCH(B678,Listas!$D$2:$D$10,0)),"?"))</f>
        <v/>
      </c>
      <c r="D678" s="14" t="n"/>
      <c r="E678" s="14" t="n"/>
      <c r="F678" s="21">
        <f>IF(AND(D678="",E678=""),"",D678*60+E678)</f>
        <v/>
      </c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</row>
    <row r="679">
      <c r="A679" s="14" t="n"/>
      <c r="B679" s="14" t="n"/>
      <c r="C679" s="21">
        <f>IF(B679="","",IFERROR(INDEX(Listas!$E$2:$E$10,MATCH(B679,Listas!$D$2:$D$10,0)),"?"))</f>
        <v/>
      </c>
      <c r="D679" s="14" t="n"/>
      <c r="E679" s="14" t="n"/>
      <c r="F679" s="21">
        <f>IF(AND(D679="",E679=""),"",D679*60+E679)</f>
        <v/>
      </c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</row>
    <row r="680">
      <c r="A680" s="14" t="n"/>
      <c r="B680" s="14" t="n"/>
      <c r="C680" s="21">
        <f>IF(B680="","",IFERROR(INDEX(Listas!$E$2:$E$10,MATCH(B680,Listas!$D$2:$D$10,0)),"?"))</f>
        <v/>
      </c>
      <c r="D680" s="14" t="n"/>
      <c r="E680" s="14" t="n"/>
      <c r="F680" s="21">
        <f>IF(AND(D680="",E680=""),"",D680*60+E680)</f>
        <v/>
      </c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</row>
    <row r="681">
      <c r="A681" s="14" t="n"/>
      <c r="B681" s="14" t="n"/>
      <c r="C681" s="21">
        <f>IF(B681="","",IFERROR(INDEX(Listas!$E$2:$E$10,MATCH(B681,Listas!$D$2:$D$10,0)),"?"))</f>
        <v/>
      </c>
      <c r="D681" s="14" t="n"/>
      <c r="E681" s="14" t="n"/>
      <c r="F681" s="21">
        <f>IF(AND(D681="",E681=""),"",D681*60+E681)</f>
        <v/>
      </c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</row>
    <row r="682">
      <c r="A682" s="14" t="n"/>
      <c r="B682" s="14" t="n"/>
      <c r="C682" s="21">
        <f>IF(B682="","",IFERROR(INDEX(Listas!$E$2:$E$10,MATCH(B682,Listas!$D$2:$D$10,0)),"?"))</f>
        <v/>
      </c>
      <c r="D682" s="14" t="n"/>
      <c r="E682" s="14" t="n"/>
      <c r="F682" s="21">
        <f>IF(AND(D682="",E682=""),"",D682*60+E682)</f>
        <v/>
      </c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</row>
    <row r="683">
      <c r="A683" s="14" t="n"/>
      <c r="B683" s="14" t="n"/>
      <c r="C683" s="21">
        <f>IF(B683="","",IFERROR(INDEX(Listas!$E$2:$E$10,MATCH(B683,Listas!$D$2:$D$10,0)),"?"))</f>
        <v/>
      </c>
      <c r="D683" s="14" t="n"/>
      <c r="E683" s="14" t="n"/>
      <c r="F683" s="21">
        <f>IF(AND(D683="",E683=""),"",D683*60+E683)</f>
        <v/>
      </c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</row>
    <row r="684">
      <c r="A684" s="14" t="n"/>
      <c r="B684" s="14" t="n"/>
      <c r="C684" s="21">
        <f>IF(B684="","",IFERROR(INDEX(Listas!$E$2:$E$10,MATCH(B684,Listas!$D$2:$D$10,0)),"?"))</f>
        <v/>
      </c>
      <c r="D684" s="14" t="n"/>
      <c r="E684" s="14" t="n"/>
      <c r="F684" s="21">
        <f>IF(AND(D684="",E684=""),"",D684*60+E684)</f>
        <v/>
      </c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</row>
    <row r="685">
      <c r="A685" s="14" t="n"/>
      <c r="B685" s="14" t="n"/>
      <c r="C685" s="21">
        <f>IF(B685="","",IFERROR(INDEX(Listas!$E$2:$E$10,MATCH(B685,Listas!$D$2:$D$10,0)),"?"))</f>
        <v/>
      </c>
      <c r="D685" s="14" t="n"/>
      <c r="E685" s="14" t="n"/>
      <c r="F685" s="21">
        <f>IF(AND(D685="",E685=""),"",D685*60+E685)</f>
        <v/>
      </c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</row>
    <row r="686">
      <c r="A686" s="14" t="n"/>
      <c r="B686" s="14" t="n"/>
      <c r="C686" s="21">
        <f>IF(B686="","",IFERROR(INDEX(Listas!$E$2:$E$10,MATCH(B686,Listas!$D$2:$D$10,0)),"?"))</f>
        <v/>
      </c>
      <c r="D686" s="14" t="n"/>
      <c r="E686" s="14" t="n"/>
      <c r="F686" s="21">
        <f>IF(AND(D686="",E686=""),"",D686*60+E686)</f>
        <v/>
      </c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</row>
    <row r="687">
      <c r="A687" s="14" t="n"/>
      <c r="B687" s="14" t="n"/>
      <c r="C687" s="21">
        <f>IF(B687="","",IFERROR(INDEX(Listas!$E$2:$E$10,MATCH(B687,Listas!$D$2:$D$10,0)),"?"))</f>
        <v/>
      </c>
      <c r="D687" s="14" t="n"/>
      <c r="E687" s="14" t="n"/>
      <c r="F687" s="21">
        <f>IF(AND(D687="",E687=""),"",D687*60+E687)</f>
        <v/>
      </c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</row>
    <row r="688">
      <c r="A688" s="14" t="n"/>
      <c r="B688" s="14" t="n"/>
      <c r="C688" s="21">
        <f>IF(B688="","",IFERROR(INDEX(Listas!$E$2:$E$10,MATCH(B688,Listas!$D$2:$D$10,0)),"?"))</f>
        <v/>
      </c>
      <c r="D688" s="14" t="n"/>
      <c r="E688" s="14" t="n"/>
      <c r="F688" s="21">
        <f>IF(AND(D688="",E688=""),"",D688*60+E688)</f>
        <v/>
      </c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</row>
    <row r="689">
      <c r="A689" s="14" t="n"/>
      <c r="B689" s="14" t="n"/>
      <c r="C689" s="21">
        <f>IF(B689="","",IFERROR(INDEX(Listas!$E$2:$E$10,MATCH(B689,Listas!$D$2:$D$10,0)),"?"))</f>
        <v/>
      </c>
      <c r="D689" s="14" t="n"/>
      <c r="E689" s="14" t="n"/>
      <c r="F689" s="21">
        <f>IF(AND(D689="",E689=""),"",D689*60+E689)</f>
        <v/>
      </c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</row>
    <row r="690">
      <c r="A690" s="14" t="n"/>
      <c r="B690" s="14" t="n"/>
      <c r="C690" s="21">
        <f>IF(B690="","",IFERROR(INDEX(Listas!$E$2:$E$10,MATCH(B690,Listas!$D$2:$D$10,0)),"?"))</f>
        <v/>
      </c>
      <c r="D690" s="14" t="n"/>
      <c r="E690" s="14" t="n"/>
      <c r="F690" s="21">
        <f>IF(AND(D690="",E690=""),"",D690*60+E690)</f>
        <v/>
      </c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</row>
    <row r="691">
      <c r="A691" s="14" t="n"/>
      <c r="B691" s="14" t="n"/>
      <c r="C691" s="21">
        <f>IF(B691="","",IFERROR(INDEX(Listas!$E$2:$E$10,MATCH(B691,Listas!$D$2:$D$10,0)),"?"))</f>
        <v/>
      </c>
      <c r="D691" s="14" t="n"/>
      <c r="E691" s="14" t="n"/>
      <c r="F691" s="21">
        <f>IF(AND(D691="",E691=""),"",D691*60+E691)</f>
        <v/>
      </c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</row>
    <row r="692">
      <c r="A692" s="14" t="n"/>
      <c r="B692" s="14" t="n"/>
      <c r="C692" s="21">
        <f>IF(B692="","",IFERROR(INDEX(Listas!$E$2:$E$10,MATCH(B692,Listas!$D$2:$D$10,0)),"?"))</f>
        <v/>
      </c>
      <c r="D692" s="14" t="n"/>
      <c r="E692" s="14" t="n"/>
      <c r="F692" s="21">
        <f>IF(AND(D692="",E692=""),"",D692*60+E692)</f>
        <v/>
      </c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</row>
    <row r="693">
      <c r="A693" s="14" t="n"/>
      <c r="B693" s="14" t="n"/>
      <c r="C693" s="21">
        <f>IF(B693="","",IFERROR(INDEX(Listas!$E$2:$E$10,MATCH(B693,Listas!$D$2:$D$10,0)),"?"))</f>
        <v/>
      </c>
      <c r="D693" s="14" t="n"/>
      <c r="E693" s="14" t="n"/>
      <c r="F693" s="21">
        <f>IF(AND(D693="",E693=""),"",D693*60+E693)</f>
        <v/>
      </c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</row>
    <row r="694">
      <c r="A694" s="14" t="n"/>
      <c r="B694" s="14" t="n"/>
      <c r="C694" s="21">
        <f>IF(B694="","",IFERROR(INDEX(Listas!$E$2:$E$10,MATCH(B694,Listas!$D$2:$D$10,0)),"?"))</f>
        <v/>
      </c>
      <c r="D694" s="14" t="n"/>
      <c r="E694" s="14" t="n"/>
      <c r="F694" s="21">
        <f>IF(AND(D694="",E694=""),"",D694*60+E694)</f>
        <v/>
      </c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</row>
    <row r="695">
      <c r="A695" s="14" t="n"/>
      <c r="B695" s="14" t="n"/>
      <c r="C695" s="21">
        <f>IF(B695="","",IFERROR(INDEX(Listas!$E$2:$E$10,MATCH(B695,Listas!$D$2:$D$10,0)),"?"))</f>
        <v/>
      </c>
      <c r="D695" s="14" t="n"/>
      <c r="E695" s="14" t="n"/>
      <c r="F695" s="21">
        <f>IF(AND(D695="",E695=""),"",D695*60+E695)</f>
        <v/>
      </c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</row>
    <row r="696">
      <c r="A696" s="14" t="n"/>
      <c r="B696" s="14" t="n"/>
      <c r="C696" s="21">
        <f>IF(B696="","",IFERROR(INDEX(Listas!$E$2:$E$10,MATCH(B696,Listas!$D$2:$D$10,0)),"?"))</f>
        <v/>
      </c>
      <c r="D696" s="14" t="n"/>
      <c r="E696" s="14" t="n"/>
      <c r="F696" s="21">
        <f>IF(AND(D696="",E696=""),"",D696*60+E696)</f>
        <v/>
      </c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</row>
    <row r="697">
      <c r="A697" s="14" t="n"/>
      <c r="B697" s="14" t="n"/>
      <c r="C697" s="21">
        <f>IF(B697="","",IFERROR(INDEX(Listas!$E$2:$E$10,MATCH(B697,Listas!$D$2:$D$10,0)),"?"))</f>
        <v/>
      </c>
      <c r="D697" s="14" t="n"/>
      <c r="E697" s="14" t="n"/>
      <c r="F697" s="21">
        <f>IF(AND(D697="",E697=""),"",D697*60+E697)</f>
        <v/>
      </c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</row>
    <row r="698">
      <c r="A698" s="14" t="n"/>
      <c r="B698" s="14" t="n"/>
      <c r="C698" s="21">
        <f>IF(B698="","",IFERROR(INDEX(Listas!$E$2:$E$10,MATCH(B698,Listas!$D$2:$D$10,0)),"?"))</f>
        <v/>
      </c>
      <c r="D698" s="14" t="n"/>
      <c r="E698" s="14" t="n"/>
      <c r="F698" s="21">
        <f>IF(AND(D698="",E698=""),"",D698*60+E698)</f>
        <v/>
      </c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</row>
    <row r="699">
      <c r="A699" s="14" t="n"/>
      <c r="B699" s="14" t="n"/>
      <c r="C699" s="21">
        <f>IF(B699="","",IFERROR(INDEX(Listas!$E$2:$E$10,MATCH(B699,Listas!$D$2:$D$10,0)),"?"))</f>
        <v/>
      </c>
      <c r="D699" s="14" t="n"/>
      <c r="E699" s="14" t="n"/>
      <c r="F699" s="21">
        <f>IF(AND(D699="",E699=""),"",D699*60+E699)</f>
        <v/>
      </c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</row>
    <row r="700">
      <c r="A700" s="14" t="n"/>
      <c r="B700" s="14" t="n"/>
      <c r="C700" s="21">
        <f>IF(B700="","",IFERROR(INDEX(Listas!$E$2:$E$10,MATCH(B700,Listas!$D$2:$D$10,0)),"?"))</f>
        <v/>
      </c>
      <c r="D700" s="14" t="n"/>
      <c r="E700" s="14" t="n"/>
      <c r="F700" s="21">
        <f>IF(AND(D700="",E700=""),"",D700*60+E700)</f>
        <v/>
      </c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</row>
    <row r="701">
      <c r="A701" s="14" t="n"/>
      <c r="B701" s="14" t="n"/>
      <c r="C701" s="21">
        <f>IF(B701="","",IFERROR(INDEX(Listas!$E$2:$E$10,MATCH(B701,Listas!$D$2:$D$10,0)),"?"))</f>
        <v/>
      </c>
      <c r="D701" s="14" t="n"/>
      <c r="E701" s="14" t="n"/>
      <c r="F701" s="21">
        <f>IF(AND(D701="",E701=""),"",D701*60+E701)</f>
        <v/>
      </c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</row>
    <row r="702">
      <c r="A702" s="14" t="n"/>
      <c r="B702" s="14" t="n"/>
      <c r="C702" s="21">
        <f>IF(B702="","",IFERROR(INDEX(Listas!$E$2:$E$10,MATCH(B702,Listas!$D$2:$D$10,0)),"?"))</f>
        <v/>
      </c>
      <c r="D702" s="14" t="n"/>
      <c r="E702" s="14" t="n"/>
      <c r="F702" s="21">
        <f>IF(AND(D702="",E702=""),"",D702*60+E702)</f>
        <v/>
      </c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</row>
    <row r="703">
      <c r="A703" s="14" t="n"/>
      <c r="B703" s="14" t="n"/>
      <c r="C703" s="21">
        <f>IF(B703="","",IFERROR(INDEX(Listas!$E$2:$E$10,MATCH(B703,Listas!$D$2:$D$10,0)),"?"))</f>
        <v/>
      </c>
      <c r="D703" s="14" t="n"/>
      <c r="E703" s="14" t="n"/>
      <c r="F703" s="21">
        <f>IF(AND(D703="",E703=""),"",D703*60+E703)</f>
        <v/>
      </c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</row>
    <row r="704">
      <c r="A704" s="14" t="n"/>
      <c r="B704" s="14" t="n"/>
      <c r="C704" s="21">
        <f>IF(B704="","",IFERROR(INDEX(Listas!$E$2:$E$10,MATCH(B704,Listas!$D$2:$D$10,0)),"?"))</f>
        <v/>
      </c>
      <c r="D704" s="14" t="n"/>
      <c r="E704" s="14" t="n"/>
      <c r="F704" s="21">
        <f>IF(AND(D704="",E704=""),"",D704*60+E704)</f>
        <v/>
      </c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</row>
    <row r="705">
      <c r="A705" s="14" t="n"/>
      <c r="B705" s="14" t="n"/>
      <c r="C705" s="21">
        <f>IF(B705="","",IFERROR(INDEX(Listas!$E$2:$E$10,MATCH(B705,Listas!$D$2:$D$10,0)),"?"))</f>
        <v/>
      </c>
      <c r="D705" s="14" t="n"/>
      <c r="E705" s="14" t="n"/>
      <c r="F705" s="21">
        <f>IF(AND(D705="",E705=""),"",D705*60+E705)</f>
        <v/>
      </c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</row>
    <row r="706">
      <c r="A706" s="14" t="n"/>
      <c r="B706" s="14" t="n"/>
      <c r="C706" s="21">
        <f>IF(B706="","",IFERROR(INDEX(Listas!$E$2:$E$10,MATCH(B706,Listas!$D$2:$D$10,0)),"?"))</f>
        <v/>
      </c>
      <c r="D706" s="14" t="n"/>
      <c r="E706" s="14" t="n"/>
      <c r="F706" s="21">
        <f>IF(AND(D706="",E706=""),"",D706*60+E706)</f>
        <v/>
      </c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</row>
    <row r="707">
      <c r="A707" s="14" t="n"/>
      <c r="B707" s="14" t="n"/>
      <c r="C707" s="21">
        <f>IF(B707="","",IFERROR(INDEX(Listas!$E$2:$E$10,MATCH(B707,Listas!$D$2:$D$10,0)),"?"))</f>
        <v/>
      </c>
      <c r="D707" s="14" t="n"/>
      <c r="E707" s="14" t="n"/>
      <c r="F707" s="21">
        <f>IF(AND(D707="",E707=""),"",D707*60+E707)</f>
        <v/>
      </c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</row>
    <row r="708">
      <c r="A708" s="14" t="n"/>
      <c r="B708" s="14" t="n"/>
      <c r="C708" s="21">
        <f>IF(B708="","",IFERROR(INDEX(Listas!$E$2:$E$10,MATCH(B708,Listas!$D$2:$D$10,0)),"?"))</f>
        <v/>
      </c>
      <c r="D708" s="14" t="n"/>
      <c r="E708" s="14" t="n"/>
      <c r="F708" s="21">
        <f>IF(AND(D708="",E708=""),"",D708*60+E708)</f>
        <v/>
      </c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</row>
    <row r="709">
      <c r="A709" s="14" t="n"/>
      <c r="B709" s="14" t="n"/>
      <c r="C709" s="21">
        <f>IF(B709="","",IFERROR(INDEX(Listas!$E$2:$E$10,MATCH(B709,Listas!$D$2:$D$10,0)),"?"))</f>
        <v/>
      </c>
      <c r="D709" s="14" t="n"/>
      <c r="E709" s="14" t="n"/>
      <c r="F709" s="21">
        <f>IF(AND(D709="",E709=""),"",D709*60+E709)</f>
        <v/>
      </c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</row>
    <row r="710">
      <c r="A710" s="14" t="n"/>
      <c r="B710" s="14" t="n"/>
      <c r="C710" s="21">
        <f>IF(B710="","",IFERROR(INDEX(Listas!$E$2:$E$10,MATCH(B710,Listas!$D$2:$D$10,0)),"?"))</f>
        <v/>
      </c>
      <c r="D710" s="14" t="n"/>
      <c r="E710" s="14" t="n"/>
      <c r="F710" s="21">
        <f>IF(AND(D710="",E710=""),"",D710*60+E710)</f>
        <v/>
      </c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</row>
    <row r="711">
      <c r="A711" s="14" t="n"/>
      <c r="B711" s="14" t="n"/>
      <c r="C711" s="21">
        <f>IF(B711="","",IFERROR(INDEX(Listas!$E$2:$E$10,MATCH(B711,Listas!$D$2:$D$10,0)),"?"))</f>
        <v/>
      </c>
      <c r="D711" s="14" t="n"/>
      <c r="E711" s="14" t="n"/>
      <c r="F711" s="21">
        <f>IF(AND(D711="",E711=""),"",D711*60+E711)</f>
        <v/>
      </c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</row>
    <row r="712">
      <c r="A712" s="14" t="n"/>
      <c r="B712" s="14" t="n"/>
      <c r="C712" s="21">
        <f>IF(B712="","",IFERROR(INDEX(Listas!$E$2:$E$10,MATCH(B712,Listas!$D$2:$D$10,0)),"?"))</f>
        <v/>
      </c>
      <c r="D712" s="14" t="n"/>
      <c r="E712" s="14" t="n"/>
      <c r="F712" s="21">
        <f>IF(AND(D712="",E712=""),"",D712*60+E712)</f>
        <v/>
      </c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</row>
    <row r="713">
      <c r="A713" s="14" t="n"/>
      <c r="B713" s="14" t="n"/>
      <c r="C713" s="21">
        <f>IF(B713="","",IFERROR(INDEX(Listas!$E$2:$E$10,MATCH(B713,Listas!$D$2:$D$10,0)),"?"))</f>
        <v/>
      </c>
      <c r="D713" s="14" t="n"/>
      <c r="E713" s="14" t="n"/>
      <c r="F713" s="21">
        <f>IF(AND(D713="",E713=""),"",D713*60+E713)</f>
        <v/>
      </c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</row>
    <row r="714">
      <c r="A714" s="14" t="n"/>
      <c r="B714" s="14" t="n"/>
      <c r="C714" s="21">
        <f>IF(B714="","",IFERROR(INDEX(Listas!$E$2:$E$10,MATCH(B714,Listas!$D$2:$D$10,0)),"?"))</f>
        <v/>
      </c>
      <c r="D714" s="14" t="n"/>
      <c r="E714" s="14" t="n"/>
      <c r="F714" s="21">
        <f>IF(AND(D714="",E714=""),"",D714*60+E714)</f>
        <v/>
      </c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</row>
    <row r="715">
      <c r="A715" s="14" t="n"/>
      <c r="B715" s="14" t="n"/>
      <c r="C715" s="21">
        <f>IF(B715="","",IFERROR(INDEX(Listas!$E$2:$E$10,MATCH(B715,Listas!$D$2:$D$10,0)),"?"))</f>
        <v/>
      </c>
      <c r="D715" s="14" t="n"/>
      <c r="E715" s="14" t="n"/>
      <c r="F715" s="21">
        <f>IF(AND(D715="",E715=""),"",D715*60+E715)</f>
        <v/>
      </c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</row>
    <row r="716">
      <c r="A716" s="14" t="n"/>
      <c r="B716" s="14" t="n"/>
      <c r="C716" s="21">
        <f>IF(B716="","",IFERROR(INDEX(Listas!$E$2:$E$10,MATCH(B716,Listas!$D$2:$D$10,0)),"?"))</f>
        <v/>
      </c>
      <c r="D716" s="14" t="n"/>
      <c r="E716" s="14" t="n"/>
      <c r="F716" s="21">
        <f>IF(AND(D716="",E716=""),"",D716*60+E716)</f>
        <v/>
      </c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</row>
    <row r="717">
      <c r="A717" s="14" t="n"/>
      <c r="B717" s="14" t="n"/>
      <c r="C717" s="21">
        <f>IF(B717="","",IFERROR(INDEX(Listas!$E$2:$E$10,MATCH(B717,Listas!$D$2:$D$10,0)),"?"))</f>
        <v/>
      </c>
      <c r="D717" s="14" t="n"/>
      <c r="E717" s="14" t="n"/>
      <c r="F717" s="21">
        <f>IF(AND(D717="",E717=""),"",D717*60+E717)</f>
        <v/>
      </c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</row>
    <row r="718">
      <c r="A718" s="14" t="n"/>
      <c r="B718" s="14" t="n"/>
      <c r="C718" s="21">
        <f>IF(B718="","",IFERROR(INDEX(Listas!$E$2:$E$10,MATCH(B718,Listas!$D$2:$D$10,0)),"?"))</f>
        <v/>
      </c>
      <c r="D718" s="14" t="n"/>
      <c r="E718" s="14" t="n"/>
      <c r="F718" s="21">
        <f>IF(AND(D718="",E718=""),"",D718*60+E718)</f>
        <v/>
      </c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</row>
    <row r="719">
      <c r="A719" s="14" t="n"/>
      <c r="B719" s="14" t="n"/>
      <c r="C719" s="21">
        <f>IF(B719="","",IFERROR(INDEX(Listas!$E$2:$E$10,MATCH(B719,Listas!$D$2:$D$10,0)),"?"))</f>
        <v/>
      </c>
      <c r="D719" s="14" t="n"/>
      <c r="E719" s="14" t="n"/>
      <c r="F719" s="21">
        <f>IF(AND(D719="",E719=""),"",D719*60+E719)</f>
        <v/>
      </c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</row>
    <row r="720">
      <c r="A720" s="14" t="n"/>
      <c r="B720" s="14" t="n"/>
      <c r="C720" s="21">
        <f>IF(B720="","",IFERROR(INDEX(Listas!$E$2:$E$10,MATCH(B720,Listas!$D$2:$D$10,0)),"?"))</f>
        <v/>
      </c>
      <c r="D720" s="14" t="n"/>
      <c r="E720" s="14" t="n"/>
      <c r="F720" s="21">
        <f>IF(AND(D720="",E720=""),"",D720*60+E720)</f>
        <v/>
      </c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</row>
    <row r="721">
      <c r="A721" s="14" t="n"/>
      <c r="B721" s="14" t="n"/>
      <c r="C721" s="21">
        <f>IF(B721="","",IFERROR(INDEX(Listas!$E$2:$E$10,MATCH(B721,Listas!$D$2:$D$10,0)),"?"))</f>
        <v/>
      </c>
      <c r="D721" s="14" t="n"/>
      <c r="E721" s="14" t="n"/>
      <c r="F721" s="21">
        <f>IF(AND(D721="",E721=""),"",D721*60+E721)</f>
        <v/>
      </c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</row>
    <row r="722">
      <c r="A722" s="14" t="n"/>
      <c r="B722" s="14" t="n"/>
      <c r="C722" s="21">
        <f>IF(B722="","",IFERROR(INDEX(Listas!$E$2:$E$10,MATCH(B722,Listas!$D$2:$D$10,0)),"?"))</f>
        <v/>
      </c>
      <c r="D722" s="14" t="n"/>
      <c r="E722" s="14" t="n"/>
      <c r="F722" s="21">
        <f>IF(AND(D722="",E722=""),"",D722*60+E722)</f>
        <v/>
      </c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</row>
    <row r="723">
      <c r="A723" s="14" t="n"/>
      <c r="B723" s="14" t="n"/>
      <c r="C723" s="21">
        <f>IF(B723="","",IFERROR(INDEX(Listas!$E$2:$E$10,MATCH(B723,Listas!$D$2:$D$10,0)),"?"))</f>
        <v/>
      </c>
      <c r="D723" s="14" t="n"/>
      <c r="E723" s="14" t="n"/>
      <c r="F723" s="21">
        <f>IF(AND(D723="",E723=""),"",D723*60+E723)</f>
        <v/>
      </c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</row>
    <row r="724">
      <c r="A724" s="14" t="n"/>
      <c r="B724" s="14" t="n"/>
      <c r="C724" s="21">
        <f>IF(B724="","",IFERROR(INDEX(Listas!$E$2:$E$10,MATCH(B724,Listas!$D$2:$D$10,0)),"?"))</f>
        <v/>
      </c>
      <c r="D724" s="14" t="n"/>
      <c r="E724" s="14" t="n"/>
      <c r="F724" s="21">
        <f>IF(AND(D724="",E724=""),"",D724*60+E724)</f>
        <v/>
      </c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</row>
    <row r="725">
      <c r="A725" s="14" t="n"/>
      <c r="B725" s="14" t="n"/>
      <c r="C725" s="21">
        <f>IF(B725="","",IFERROR(INDEX(Listas!$E$2:$E$10,MATCH(B725,Listas!$D$2:$D$10,0)),"?"))</f>
        <v/>
      </c>
      <c r="D725" s="14" t="n"/>
      <c r="E725" s="14" t="n"/>
      <c r="F725" s="21">
        <f>IF(AND(D725="",E725=""),"",D725*60+E725)</f>
        <v/>
      </c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</row>
    <row r="726">
      <c r="A726" s="14" t="n"/>
      <c r="B726" s="14" t="n"/>
      <c r="C726" s="21">
        <f>IF(B726="","",IFERROR(INDEX(Listas!$E$2:$E$10,MATCH(B726,Listas!$D$2:$D$10,0)),"?"))</f>
        <v/>
      </c>
      <c r="D726" s="14" t="n"/>
      <c r="E726" s="14" t="n"/>
      <c r="F726" s="21">
        <f>IF(AND(D726="",E726=""),"",D726*60+E726)</f>
        <v/>
      </c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</row>
    <row r="727">
      <c r="A727" s="14" t="n"/>
      <c r="B727" s="14" t="n"/>
      <c r="C727" s="21">
        <f>IF(B727="","",IFERROR(INDEX(Listas!$E$2:$E$10,MATCH(B727,Listas!$D$2:$D$10,0)),"?"))</f>
        <v/>
      </c>
      <c r="D727" s="14" t="n"/>
      <c r="E727" s="14" t="n"/>
      <c r="F727" s="21">
        <f>IF(AND(D727="",E727=""),"",D727*60+E727)</f>
        <v/>
      </c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</row>
    <row r="728">
      <c r="A728" s="14" t="n"/>
      <c r="B728" s="14" t="n"/>
      <c r="C728" s="21">
        <f>IF(B728="","",IFERROR(INDEX(Listas!$E$2:$E$10,MATCH(B728,Listas!$D$2:$D$10,0)),"?"))</f>
        <v/>
      </c>
      <c r="D728" s="14" t="n"/>
      <c r="E728" s="14" t="n"/>
      <c r="F728" s="21">
        <f>IF(AND(D728="",E728=""),"",D728*60+E728)</f>
        <v/>
      </c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</row>
    <row r="729">
      <c r="A729" s="14" t="n"/>
      <c r="B729" s="14" t="n"/>
      <c r="C729" s="21">
        <f>IF(B729="","",IFERROR(INDEX(Listas!$E$2:$E$10,MATCH(B729,Listas!$D$2:$D$10,0)),"?"))</f>
        <v/>
      </c>
      <c r="D729" s="14" t="n"/>
      <c r="E729" s="14" t="n"/>
      <c r="F729" s="21">
        <f>IF(AND(D729="",E729=""),"",D729*60+E729)</f>
        <v/>
      </c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</row>
    <row r="730">
      <c r="A730" s="14" t="n"/>
      <c r="B730" s="14" t="n"/>
      <c r="C730" s="21">
        <f>IF(B730="","",IFERROR(INDEX(Listas!$E$2:$E$10,MATCH(B730,Listas!$D$2:$D$10,0)),"?"))</f>
        <v/>
      </c>
      <c r="D730" s="14" t="n"/>
      <c r="E730" s="14" t="n"/>
      <c r="F730" s="21">
        <f>IF(AND(D730="",E730=""),"",D730*60+E730)</f>
        <v/>
      </c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</row>
    <row r="731">
      <c r="A731" s="14" t="n"/>
      <c r="B731" s="14" t="n"/>
      <c r="C731" s="21">
        <f>IF(B731="","",IFERROR(INDEX(Listas!$E$2:$E$10,MATCH(B731,Listas!$D$2:$D$10,0)),"?"))</f>
        <v/>
      </c>
      <c r="D731" s="14" t="n"/>
      <c r="E731" s="14" t="n"/>
      <c r="F731" s="21">
        <f>IF(AND(D731="",E731=""),"",D731*60+E731)</f>
        <v/>
      </c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</row>
    <row r="732">
      <c r="A732" s="14" t="n"/>
      <c r="B732" s="14" t="n"/>
      <c r="C732" s="21">
        <f>IF(B732="","",IFERROR(INDEX(Listas!$E$2:$E$10,MATCH(B732,Listas!$D$2:$D$10,0)),"?"))</f>
        <v/>
      </c>
      <c r="D732" s="14" t="n"/>
      <c r="E732" s="14" t="n"/>
      <c r="F732" s="21">
        <f>IF(AND(D732="",E732=""),"",D732*60+E732)</f>
        <v/>
      </c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</row>
    <row r="733">
      <c r="A733" s="14" t="n"/>
      <c r="B733" s="14" t="n"/>
      <c r="C733" s="21">
        <f>IF(B733="","",IFERROR(INDEX(Listas!$E$2:$E$10,MATCH(B733,Listas!$D$2:$D$10,0)),"?"))</f>
        <v/>
      </c>
      <c r="D733" s="14" t="n"/>
      <c r="E733" s="14" t="n"/>
      <c r="F733" s="21">
        <f>IF(AND(D733="",E733=""),"",D733*60+E733)</f>
        <v/>
      </c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</row>
    <row r="734">
      <c r="A734" s="14" t="n"/>
      <c r="B734" s="14" t="n"/>
      <c r="C734" s="21">
        <f>IF(B734="","",IFERROR(INDEX(Listas!$E$2:$E$10,MATCH(B734,Listas!$D$2:$D$10,0)),"?"))</f>
        <v/>
      </c>
      <c r="D734" s="14" t="n"/>
      <c r="E734" s="14" t="n"/>
      <c r="F734" s="21">
        <f>IF(AND(D734="",E734=""),"",D734*60+E734)</f>
        <v/>
      </c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</row>
    <row r="735">
      <c r="A735" s="14" t="n"/>
      <c r="B735" s="14" t="n"/>
      <c r="C735" s="21">
        <f>IF(B735="","",IFERROR(INDEX(Listas!$E$2:$E$10,MATCH(B735,Listas!$D$2:$D$10,0)),"?"))</f>
        <v/>
      </c>
      <c r="D735" s="14" t="n"/>
      <c r="E735" s="14" t="n"/>
      <c r="F735" s="21">
        <f>IF(AND(D735="",E735=""),"",D735*60+E735)</f>
        <v/>
      </c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</row>
    <row r="736">
      <c r="A736" s="14" t="n"/>
      <c r="B736" s="14" t="n"/>
      <c r="C736" s="21">
        <f>IF(B736="","",IFERROR(INDEX(Listas!$E$2:$E$10,MATCH(B736,Listas!$D$2:$D$10,0)),"?"))</f>
        <v/>
      </c>
      <c r="D736" s="14" t="n"/>
      <c r="E736" s="14" t="n"/>
      <c r="F736" s="21">
        <f>IF(AND(D736="",E736=""),"",D736*60+E736)</f>
        <v/>
      </c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</row>
    <row r="737">
      <c r="A737" s="14" t="n"/>
      <c r="B737" s="14" t="n"/>
      <c r="C737" s="21">
        <f>IF(B737="","",IFERROR(INDEX(Listas!$E$2:$E$10,MATCH(B737,Listas!$D$2:$D$10,0)),"?"))</f>
        <v/>
      </c>
      <c r="D737" s="14" t="n"/>
      <c r="E737" s="14" t="n"/>
      <c r="F737" s="21">
        <f>IF(AND(D737="",E737=""),"",D737*60+E737)</f>
        <v/>
      </c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</row>
    <row r="738">
      <c r="A738" s="14" t="n"/>
      <c r="B738" s="14" t="n"/>
      <c r="C738" s="21">
        <f>IF(B738="","",IFERROR(INDEX(Listas!$E$2:$E$10,MATCH(B738,Listas!$D$2:$D$10,0)),"?"))</f>
        <v/>
      </c>
      <c r="D738" s="14" t="n"/>
      <c r="E738" s="14" t="n"/>
      <c r="F738" s="21">
        <f>IF(AND(D738="",E738=""),"",D738*60+E738)</f>
        <v/>
      </c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</row>
    <row r="739">
      <c r="A739" s="14" t="n"/>
      <c r="B739" s="14" t="n"/>
      <c r="C739" s="21">
        <f>IF(B739="","",IFERROR(INDEX(Listas!$E$2:$E$10,MATCH(B739,Listas!$D$2:$D$10,0)),"?"))</f>
        <v/>
      </c>
      <c r="D739" s="14" t="n"/>
      <c r="E739" s="14" t="n"/>
      <c r="F739" s="21">
        <f>IF(AND(D739="",E739=""),"",D739*60+E739)</f>
        <v/>
      </c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</row>
    <row r="740">
      <c r="A740" s="14" t="n"/>
      <c r="B740" s="14" t="n"/>
      <c r="C740" s="21">
        <f>IF(B740="","",IFERROR(INDEX(Listas!$E$2:$E$10,MATCH(B740,Listas!$D$2:$D$10,0)),"?"))</f>
        <v/>
      </c>
      <c r="D740" s="14" t="n"/>
      <c r="E740" s="14" t="n"/>
      <c r="F740" s="21">
        <f>IF(AND(D740="",E740=""),"",D740*60+E740)</f>
        <v/>
      </c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</row>
    <row r="741">
      <c r="A741" s="14" t="n"/>
      <c r="B741" s="14" t="n"/>
      <c r="C741" s="21">
        <f>IF(B741="","",IFERROR(INDEX(Listas!$E$2:$E$10,MATCH(B741,Listas!$D$2:$D$10,0)),"?"))</f>
        <v/>
      </c>
      <c r="D741" s="14" t="n"/>
      <c r="E741" s="14" t="n"/>
      <c r="F741" s="21">
        <f>IF(AND(D741="",E741=""),"",D741*60+E741)</f>
        <v/>
      </c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</row>
    <row r="742">
      <c r="A742" s="14" t="n"/>
      <c r="B742" s="14" t="n"/>
      <c r="C742" s="21">
        <f>IF(B742="","",IFERROR(INDEX(Listas!$E$2:$E$10,MATCH(B742,Listas!$D$2:$D$10,0)),"?"))</f>
        <v/>
      </c>
      <c r="D742" s="14" t="n"/>
      <c r="E742" s="14" t="n"/>
      <c r="F742" s="21">
        <f>IF(AND(D742="",E742=""),"",D742*60+E742)</f>
        <v/>
      </c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</row>
    <row r="743">
      <c r="A743" s="14" t="n"/>
      <c r="B743" s="14" t="n"/>
      <c r="C743" s="21">
        <f>IF(B743="","",IFERROR(INDEX(Listas!$E$2:$E$10,MATCH(B743,Listas!$D$2:$D$10,0)),"?"))</f>
        <v/>
      </c>
      <c r="D743" s="14" t="n"/>
      <c r="E743" s="14" t="n"/>
      <c r="F743" s="21">
        <f>IF(AND(D743="",E743=""),"",D743*60+E743)</f>
        <v/>
      </c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</row>
    <row r="744">
      <c r="A744" s="14" t="n"/>
      <c r="B744" s="14" t="n"/>
      <c r="C744" s="21">
        <f>IF(B744="","",IFERROR(INDEX(Listas!$E$2:$E$10,MATCH(B744,Listas!$D$2:$D$10,0)),"?"))</f>
        <v/>
      </c>
      <c r="D744" s="14" t="n"/>
      <c r="E744" s="14" t="n"/>
      <c r="F744" s="21">
        <f>IF(AND(D744="",E744=""),"",D744*60+E744)</f>
        <v/>
      </c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</row>
    <row r="745">
      <c r="A745" s="14" t="n"/>
      <c r="B745" s="14" t="n"/>
      <c r="C745" s="21">
        <f>IF(B745="","",IFERROR(INDEX(Listas!$E$2:$E$10,MATCH(B745,Listas!$D$2:$D$10,0)),"?"))</f>
        <v/>
      </c>
      <c r="D745" s="14" t="n"/>
      <c r="E745" s="14" t="n"/>
      <c r="F745" s="21">
        <f>IF(AND(D745="",E745=""),"",D745*60+E745)</f>
        <v/>
      </c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</row>
    <row r="746">
      <c r="A746" s="14" t="n"/>
      <c r="B746" s="14" t="n"/>
      <c r="C746" s="21">
        <f>IF(B746="","",IFERROR(INDEX(Listas!$E$2:$E$10,MATCH(B746,Listas!$D$2:$D$10,0)),"?"))</f>
        <v/>
      </c>
      <c r="D746" s="14" t="n"/>
      <c r="E746" s="14" t="n"/>
      <c r="F746" s="21">
        <f>IF(AND(D746="",E746=""),"",D746*60+E746)</f>
        <v/>
      </c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</row>
    <row r="747">
      <c r="A747" s="14" t="n"/>
      <c r="B747" s="14" t="n"/>
      <c r="C747" s="21">
        <f>IF(B747="","",IFERROR(INDEX(Listas!$E$2:$E$10,MATCH(B747,Listas!$D$2:$D$10,0)),"?"))</f>
        <v/>
      </c>
      <c r="D747" s="14" t="n"/>
      <c r="E747" s="14" t="n"/>
      <c r="F747" s="21">
        <f>IF(AND(D747="",E747=""),"",D747*60+E747)</f>
        <v/>
      </c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</row>
    <row r="748">
      <c r="A748" s="14" t="n"/>
      <c r="B748" s="14" t="n"/>
      <c r="C748" s="21">
        <f>IF(B748="","",IFERROR(INDEX(Listas!$E$2:$E$10,MATCH(B748,Listas!$D$2:$D$10,0)),"?"))</f>
        <v/>
      </c>
      <c r="D748" s="14" t="n"/>
      <c r="E748" s="14" t="n"/>
      <c r="F748" s="21">
        <f>IF(AND(D748="",E748=""),"",D748*60+E748)</f>
        <v/>
      </c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</row>
    <row r="749">
      <c r="A749" s="14" t="n"/>
      <c r="B749" s="14" t="n"/>
      <c r="C749" s="21">
        <f>IF(B749="","",IFERROR(INDEX(Listas!$E$2:$E$10,MATCH(B749,Listas!$D$2:$D$10,0)),"?"))</f>
        <v/>
      </c>
      <c r="D749" s="14" t="n"/>
      <c r="E749" s="14" t="n"/>
      <c r="F749" s="21">
        <f>IF(AND(D749="",E749=""),"",D749*60+E749)</f>
        <v/>
      </c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</row>
    <row r="750">
      <c r="A750" s="14" t="n"/>
      <c r="B750" s="14" t="n"/>
      <c r="C750" s="21">
        <f>IF(B750="","",IFERROR(INDEX(Listas!$E$2:$E$10,MATCH(B750,Listas!$D$2:$D$10,0)),"?"))</f>
        <v/>
      </c>
      <c r="D750" s="14" t="n"/>
      <c r="E750" s="14" t="n"/>
      <c r="F750" s="21">
        <f>IF(AND(D750="",E750=""),"",D750*60+E750)</f>
        <v/>
      </c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</row>
    <row r="751">
      <c r="A751" s="14" t="n"/>
      <c r="B751" s="14" t="n"/>
      <c r="C751" s="21">
        <f>IF(B751="","",IFERROR(INDEX(Listas!$E$2:$E$10,MATCH(B751,Listas!$D$2:$D$10,0)),"?"))</f>
        <v/>
      </c>
      <c r="D751" s="14" t="n"/>
      <c r="E751" s="14" t="n"/>
      <c r="F751" s="21">
        <f>IF(AND(D751="",E751=""),"",D751*60+E751)</f>
        <v/>
      </c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</row>
    <row r="752">
      <c r="A752" s="14" t="n"/>
      <c r="B752" s="14" t="n"/>
      <c r="C752" s="21">
        <f>IF(B752="","",IFERROR(INDEX(Listas!$E$2:$E$10,MATCH(B752,Listas!$D$2:$D$10,0)),"?"))</f>
        <v/>
      </c>
      <c r="D752" s="14" t="n"/>
      <c r="E752" s="14" t="n"/>
      <c r="F752" s="21">
        <f>IF(AND(D752="",E752=""),"",D752*60+E752)</f>
        <v/>
      </c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</row>
    <row r="753">
      <c r="A753" s="14" t="n"/>
      <c r="B753" s="14" t="n"/>
      <c r="C753" s="21">
        <f>IF(B753="","",IFERROR(INDEX(Listas!$E$2:$E$10,MATCH(B753,Listas!$D$2:$D$10,0)),"?"))</f>
        <v/>
      </c>
      <c r="D753" s="14" t="n"/>
      <c r="E753" s="14" t="n"/>
      <c r="F753" s="21">
        <f>IF(AND(D753="",E753=""),"",D753*60+E753)</f>
        <v/>
      </c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</row>
    <row r="754">
      <c r="A754" s="14" t="n"/>
      <c r="B754" s="14" t="n"/>
      <c r="C754" s="21">
        <f>IF(B754="","",IFERROR(INDEX(Listas!$E$2:$E$10,MATCH(B754,Listas!$D$2:$D$10,0)),"?"))</f>
        <v/>
      </c>
      <c r="D754" s="14" t="n"/>
      <c r="E754" s="14" t="n"/>
      <c r="F754" s="21">
        <f>IF(AND(D754="",E754=""),"",D754*60+E754)</f>
        <v/>
      </c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</row>
    <row r="755">
      <c r="A755" s="14" t="n"/>
      <c r="B755" s="14" t="n"/>
      <c r="C755" s="21">
        <f>IF(B755="","",IFERROR(INDEX(Listas!$E$2:$E$10,MATCH(B755,Listas!$D$2:$D$10,0)),"?"))</f>
        <v/>
      </c>
      <c r="D755" s="14" t="n"/>
      <c r="E755" s="14" t="n"/>
      <c r="F755" s="21">
        <f>IF(AND(D755="",E755=""),"",D755*60+E755)</f>
        <v/>
      </c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</row>
    <row r="756">
      <c r="A756" s="14" t="n"/>
      <c r="B756" s="14" t="n"/>
      <c r="C756" s="21">
        <f>IF(B756="","",IFERROR(INDEX(Listas!$E$2:$E$10,MATCH(B756,Listas!$D$2:$D$10,0)),"?"))</f>
        <v/>
      </c>
      <c r="D756" s="14" t="n"/>
      <c r="E756" s="14" t="n"/>
      <c r="F756" s="21">
        <f>IF(AND(D756="",E756=""),"",D756*60+E756)</f>
        <v/>
      </c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</row>
    <row r="757">
      <c r="A757" s="14" t="n"/>
      <c r="B757" s="14" t="n"/>
      <c r="C757" s="21">
        <f>IF(B757="","",IFERROR(INDEX(Listas!$E$2:$E$10,MATCH(B757,Listas!$D$2:$D$10,0)),"?"))</f>
        <v/>
      </c>
      <c r="D757" s="14" t="n"/>
      <c r="E757" s="14" t="n"/>
      <c r="F757" s="21">
        <f>IF(AND(D757="",E757=""),"",D757*60+E757)</f>
        <v/>
      </c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</row>
    <row r="758">
      <c r="A758" s="14" t="n"/>
      <c r="B758" s="14" t="n"/>
      <c r="C758" s="21">
        <f>IF(B758="","",IFERROR(INDEX(Listas!$E$2:$E$10,MATCH(B758,Listas!$D$2:$D$10,0)),"?"))</f>
        <v/>
      </c>
      <c r="D758" s="14" t="n"/>
      <c r="E758" s="14" t="n"/>
      <c r="F758" s="21">
        <f>IF(AND(D758="",E758=""),"",D758*60+E758)</f>
        <v/>
      </c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</row>
    <row r="759">
      <c r="A759" s="14" t="n"/>
      <c r="B759" s="14" t="n"/>
      <c r="C759" s="21">
        <f>IF(B759="","",IFERROR(INDEX(Listas!$E$2:$E$10,MATCH(B759,Listas!$D$2:$D$10,0)),"?"))</f>
        <v/>
      </c>
      <c r="D759" s="14" t="n"/>
      <c r="E759" s="14" t="n"/>
      <c r="F759" s="21">
        <f>IF(AND(D759="",E759=""),"",D759*60+E759)</f>
        <v/>
      </c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</row>
    <row r="760">
      <c r="A760" s="14" t="n"/>
      <c r="B760" s="14" t="n"/>
      <c r="C760" s="21">
        <f>IF(B760="","",IFERROR(INDEX(Listas!$E$2:$E$10,MATCH(B760,Listas!$D$2:$D$10,0)),"?"))</f>
        <v/>
      </c>
      <c r="D760" s="14" t="n"/>
      <c r="E760" s="14" t="n"/>
      <c r="F760" s="21">
        <f>IF(AND(D760="",E760=""),"",D760*60+E760)</f>
        <v/>
      </c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</row>
    <row r="761">
      <c r="A761" s="14" t="n"/>
      <c r="B761" s="14" t="n"/>
      <c r="C761" s="21">
        <f>IF(B761="","",IFERROR(INDEX(Listas!$E$2:$E$10,MATCH(B761,Listas!$D$2:$D$10,0)),"?"))</f>
        <v/>
      </c>
      <c r="D761" s="14" t="n"/>
      <c r="E761" s="14" t="n"/>
      <c r="F761" s="21">
        <f>IF(AND(D761="",E761=""),"",D761*60+E761)</f>
        <v/>
      </c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</row>
    <row r="762">
      <c r="A762" s="14" t="n"/>
      <c r="B762" s="14" t="n"/>
      <c r="C762" s="21">
        <f>IF(B762="","",IFERROR(INDEX(Listas!$E$2:$E$10,MATCH(B762,Listas!$D$2:$D$10,0)),"?"))</f>
        <v/>
      </c>
      <c r="D762" s="14" t="n"/>
      <c r="E762" s="14" t="n"/>
      <c r="F762" s="21">
        <f>IF(AND(D762="",E762=""),"",D762*60+E762)</f>
        <v/>
      </c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</row>
    <row r="763">
      <c r="A763" s="14" t="n"/>
      <c r="B763" s="14" t="n"/>
      <c r="C763" s="21">
        <f>IF(B763="","",IFERROR(INDEX(Listas!$E$2:$E$10,MATCH(B763,Listas!$D$2:$D$10,0)),"?"))</f>
        <v/>
      </c>
      <c r="D763" s="14" t="n"/>
      <c r="E763" s="14" t="n"/>
      <c r="F763" s="21">
        <f>IF(AND(D763="",E763=""),"",D763*60+E763)</f>
        <v/>
      </c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</row>
    <row r="764">
      <c r="A764" s="14" t="n"/>
      <c r="B764" s="14" t="n"/>
      <c r="C764" s="21">
        <f>IF(B764="","",IFERROR(INDEX(Listas!$E$2:$E$10,MATCH(B764,Listas!$D$2:$D$10,0)),"?"))</f>
        <v/>
      </c>
      <c r="D764" s="14" t="n"/>
      <c r="E764" s="14" t="n"/>
      <c r="F764" s="21">
        <f>IF(AND(D764="",E764=""),"",D764*60+E764)</f>
        <v/>
      </c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</row>
    <row r="765">
      <c r="A765" s="14" t="n"/>
      <c r="B765" s="14" t="n"/>
      <c r="C765" s="21">
        <f>IF(B765="","",IFERROR(INDEX(Listas!$E$2:$E$10,MATCH(B765,Listas!$D$2:$D$10,0)),"?"))</f>
        <v/>
      </c>
      <c r="D765" s="14" t="n"/>
      <c r="E765" s="14" t="n"/>
      <c r="F765" s="21">
        <f>IF(AND(D765="",E765=""),"",D765*60+E765)</f>
        <v/>
      </c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</row>
    <row r="766">
      <c r="A766" s="14" t="n"/>
      <c r="B766" s="14" t="n"/>
      <c r="C766" s="21">
        <f>IF(B766="","",IFERROR(INDEX(Listas!$E$2:$E$10,MATCH(B766,Listas!$D$2:$D$10,0)),"?"))</f>
        <v/>
      </c>
      <c r="D766" s="14" t="n"/>
      <c r="E766" s="14" t="n"/>
      <c r="F766" s="21">
        <f>IF(AND(D766="",E766=""),"",D766*60+E766)</f>
        <v/>
      </c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</row>
    <row r="767">
      <c r="A767" s="14" t="n"/>
      <c r="B767" s="14" t="n"/>
      <c r="C767" s="21">
        <f>IF(B767="","",IFERROR(INDEX(Listas!$E$2:$E$10,MATCH(B767,Listas!$D$2:$D$10,0)),"?"))</f>
        <v/>
      </c>
      <c r="D767" s="14" t="n"/>
      <c r="E767" s="14" t="n"/>
      <c r="F767" s="21">
        <f>IF(AND(D767="",E767=""),"",D767*60+E767)</f>
        <v/>
      </c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</row>
    <row r="768">
      <c r="A768" s="14" t="n"/>
      <c r="B768" s="14" t="n"/>
      <c r="C768" s="21">
        <f>IF(B768="","",IFERROR(INDEX(Listas!$E$2:$E$10,MATCH(B768,Listas!$D$2:$D$10,0)),"?"))</f>
        <v/>
      </c>
      <c r="D768" s="14" t="n"/>
      <c r="E768" s="14" t="n"/>
      <c r="F768" s="21">
        <f>IF(AND(D768="",E768=""),"",D768*60+E768)</f>
        <v/>
      </c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</row>
    <row r="769">
      <c r="A769" s="14" t="n"/>
      <c r="B769" s="14" t="n"/>
      <c r="C769" s="21">
        <f>IF(B769="","",IFERROR(INDEX(Listas!$E$2:$E$10,MATCH(B769,Listas!$D$2:$D$10,0)),"?"))</f>
        <v/>
      </c>
      <c r="D769" s="14" t="n"/>
      <c r="E769" s="14" t="n"/>
      <c r="F769" s="21">
        <f>IF(AND(D769="",E769=""),"",D769*60+E769)</f>
        <v/>
      </c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</row>
    <row r="770">
      <c r="A770" s="14" t="n"/>
      <c r="B770" s="14" t="n"/>
      <c r="C770" s="21">
        <f>IF(B770="","",IFERROR(INDEX(Listas!$E$2:$E$10,MATCH(B770,Listas!$D$2:$D$10,0)),"?"))</f>
        <v/>
      </c>
      <c r="D770" s="14" t="n"/>
      <c r="E770" s="14" t="n"/>
      <c r="F770" s="21">
        <f>IF(AND(D770="",E770=""),"",D770*60+E770)</f>
        <v/>
      </c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</row>
    <row r="771">
      <c r="A771" s="14" t="n"/>
      <c r="B771" s="14" t="n"/>
      <c r="C771" s="21">
        <f>IF(B771="","",IFERROR(INDEX(Listas!$E$2:$E$10,MATCH(B771,Listas!$D$2:$D$10,0)),"?"))</f>
        <v/>
      </c>
      <c r="D771" s="14" t="n"/>
      <c r="E771" s="14" t="n"/>
      <c r="F771" s="21">
        <f>IF(AND(D771="",E771=""),"",D771*60+E771)</f>
        <v/>
      </c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</row>
    <row r="772">
      <c r="A772" s="14" t="n"/>
      <c r="B772" s="14" t="n"/>
      <c r="C772" s="21">
        <f>IF(B772="","",IFERROR(INDEX(Listas!$E$2:$E$10,MATCH(B772,Listas!$D$2:$D$10,0)),"?"))</f>
        <v/>
      </c>
      <c r="D772" s="14" t="n"/>
      <c r="E772" s="14" t="n"/>
      <c r="F772" s="21">
        <f>IF(AND(D772="",E772=""),"",D772*60+E772)</f>
        <v/>
      </c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</row>
    <row r="773">
      <c r="A773" s="14" t="n"/>
      <c r="B773" s="14" t="n"/>
      <c r="C773" s="21">
        <f>IF(B773="","",IFERROR(INDEX(Listas!$E$2:$E$10,MATCH(B773,Listas!$D$2:$D$10,0)),"?"))</f>
        <v/>
      </c>
      <c r="D773" s="14" t="n"/>
      <c r="E773" s="14" t="n"/>
      <c r="F773" s="21">
        <f>IF(AND(D773="",E773=""),"",D773*60+E773)</f>
        <v/>
      </c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</row>
    <row r="774">
      <c r="A774" s="14" t="n"/>
      <c r="B774" s="14" t="n"/>
      <c r="C774" s="21">
        <f>IF(B774="","",IFERROR(INDEX(Listas!$E$2:$E$10,MATCH(B774,Listas!$D$2:$D$10,0)),"?"))</f>
        <v/>
      </c>
      <c r="D774" s="14" t="n"/>
      <c r="E774" s="14" t="n"/>
      <c r="F774" s="21">
        <f>IF(AND(D774="",E774=""),"",D774*60+E774)</f>
        <v/>
      </c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</row>
    <row r="775">
      <c r="A775" s="14" t="n"/>
      <c r="B775" s="14" t="n"/>
      <c r="C775" s="21">
        <f>IF(B775="","",IFERROR(INDEX(Listas!$E$2:$E$10,MATCH(B775,Listas!$D$2:$D$10,0)),"?"))</f>
        <v/>
      </c>
      <c r="D775" s="14" t="n"/>
      <c r="E775" s="14" t="n"/>
      <c r="F775" s="21">
        <f>IF(AND(D775="",E775=""),"",D775*60+E775)</f>
        <v/>
      </c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</row>
    <row r="776">
      <c r="A776" s="14" t="n"/>
      <c r="B776" s="14" t="n"/>
      <c r="C776" s="21">
        <f>IF(B776="","",IFERROR(INDEX(Listas!$E$2:$E$10,MATCH(B776,Listas!$D$2:$D$10,0)),"?"))</f>
        <v/>
      </c>
      <c r="D776" s="14" t="n"/>
      <c r="E776" s="14" t="n"/>
      <c r="F776" s="21">
        <f>IF(AND(D776="",E776=""),"",D776*60+E776)</f>
        <v/>
      </c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</row>
    <row r="777">
      <c r="A777" s="14" t="n"/>
      <c r="B777" s="14" t="n"/>
      <c r="C777" s="21">
        <f>IF(B777="","",IFERROR(INDEX(Listas!$E$2:$E$10,MATCH(B777,Listas!$D$2:$D$10,0)),"?"))</f>
        <v/>
      </c>
      <c r="D777" s="14" t="n"/>
      <c r="E777" s="14" t="n"/>
      <c r="F777" s="21">
        <f>IF(AND(D777="",E777=""),"",D777*60+E777)</f>
        <v/>
      </c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</row>
    <row r="778">
      <c r="A778" s="14" t="n"/>
      <c r="B778" s="14" t="n"/>
      <c r="C778" s="21">
        <f>IF(B778="","",IFERROR(INDEX(Listas!$E$2:$E$10,MATCH(B778,Listas!$D$2:$D$10,0)),"?"))</f>
        <v/>
      </c>
      <c r="D778" s="14" t="n"/>
      <c r="E778" s="14" t="n"/>
      <c r="F778" s="21">
        <f>IF(AND(D778="",E778=""),"",D778*60+E778)</f>
        <v/>
      </c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</row>
    <row r="779">
      <c r="A779" s="14" t="n"/>
      <c r="B779" s="14" t="n"/>
      <c r="C779" s="21">
        <f>IF(B779="","",IFERROR(INDEX(Listas!$E$2:$E$10,MATCH(B779,Listas!$D$2:$D$10,0)),"?"))</f>
        <v/>
      </c>
      <c r="D779" s="14" t="n"/>
      <c r="E779" s="14" t="n"/>
      <c r="F779" s="21">
        <f>IF(AND(D779="",E779=""),"",D779*60+E779)</f>
        <v/>
      </c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</row>
    <row r="780">
      <c r="A780" s="14" t="n"/>
      <c r="B780" s="14" t="n"/>
      <c r="C780" s="21">
        <f>IF(B780="","",IFERROR(INDEX(Listas!$E$2:$E$10,MATCH(B780,Listas!$D$2:$D$10,0)),"?"))</f>
        <v/>
      </c>
      <c r="D780" s="14" t="n"/>
      <c r="E780" s="14" t="n"/>
      <c r="F780" s="21">
        <f>IF(AND(D780="",E780=""),"",D780*60+E780)</f>
        <v/>
      </c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</row>
    <row r="781">
      <c r="A781" s="14" t="n"/>
      <c r="B781" s="14" t="n"/>
      <c r="C781" s="21">
        <f>IF(B781="","",IFERROR(INDEX(Listas!$E$2:$E$10,MATCH(B781,Listas!$D$2:$D$10,0)),"?"))</f>
        <v/>
      </c>
      <c r="D781" s="14" t="n"/>
      <c r="E781" s="14" t="n"/>
      <c r="F781" s="21">
        <f>IF(AND(D781="",E781=""),"",D781*60+E781)</f>
        <v/>
      </c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</row>
    <row r="782">
      <c r="A782" s="14" t="n"/>
      <c r="B782" s="14" t="n"/>
      <c r="C782" s="21">
        <f>IF(B782="","",IFERROR(INDEX(Listas!$E$2:$E$10,MATCH(B782,Listas!$D$2:$D$10,0)),"?"))</f>
        <v/>
      </c>
      <c r="D782" s="14" t="n"/>
      <c r="E782" s="14" t="n"/>
      <c r="F782" s="21">
        <f>IF(AND(D782="",E782=""),"",D782*60+E782)</f>
        <v/>
      </c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</row>
    <row r="783">
      <c r="A783" s="14" t="n"/>
      <c r="B783" s="14" t="n"/>
      <c r="C783" s="21">
        <f>IF(B783="","",IFERROR(INDEX(Listas!$E$2:$E$10,MATCH(B783,Listas!$D$2:$D$10,0)),"?"))</f>
        <v/>
      </c>
      <c r="D783" s="14" t="n"/>
      <c r="E783" s="14" t="n"/>
      <c r="F783" s="21">
        <f>IF(AND(D783="",E783=""),"",D783*60+E783)</f>
        <v/>
      </c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</row>
    <row r="784">
      <c r="A784" s="14" t="n"/>
      <c r="B784" s="14" t="n"/>
      <c r="C784" s="21">
        <f>IF(B784="","",IFERROR(INDEX(Listas!$E$2:$E$10,MATCH(B784,Listas!$D$2:$D$10,0)),"?"))</f>
        <v/>
      </c>
      <c r="D784" s="14" t="n"/>
      <c r="E784" s="14" t="n"/>
      <c r="F784" s="21">
        <f>IF(AND(D784="",E784=""),"",D784*60+E784)</f>
        <v/>
      </c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</row>
    <row r="785">
      <c r="A785" s="14" t="n"/>
      <c r="B785" s="14" t="n"/>
      <c r="C785" s="21">
        <f>IF(B785="","",IFERROR(INDEX(Listas!$E$2:$E$10,MATCH(B785,Listas!$D$2:$D$10,0)),"?"))</f>
        <v/>
      </c>
      <c r="D785" s="14" t="n"/>
      <c r="E785" s="14" t="n"/>
      <c r="F785" s="21">
        <f>IF(AND(D785="",E785=""),"",D785*60+E785)</f>
        <v/>
      </c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</row>
    <row r="786">
      <c r="A786" s="14" t="n"/>
      <c r="B786" s="14" t="n"/>
      <c r="C786" s="21">
        <f>IF(B786="","",IFERROR(INDEX(Listas!$E$2:$E$10,MATCH(B786,Listas!$D$2:$D$10,0)),"?"))</f>
        <v/>
      </c>
      <c r="D786" s="14" t="n"/>
      <c r="E786" s="14" t="n"/>
      <c r="F786" s="21">
        <f>IF(AND(D786="",E786=""),"",D786*60+E786)</f>
        <v/>
      </c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</row>
    <row r="787">
      <c r="A787" s="14" t="n"/>
      <c r="B787" s="14" t="n"/>
      <c r="C787" s="21">
        <f>IF(B787="","",IFERROR(INDEX(Listas!$E$2:$E$10,MATCH(B787,Listas!$D$2:$D$10,0)),"?"))</f>
        <v/>
      </c>
      <c r="D787" s="14" t="n"/>
      <c r="E787" s="14" t="n"/>
      <c r="F787" s="21">
        <f>IF(AND(D787="",E787=""),"",D787*60+E787)</f>
        <v/>
      </c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</row>
    <row r="788">
      <c r="A788" s="14" t="n"/>
      <c r="B788" s="14" t="n"/>
      <c r="C788" s="21">
        <f>IF(B788="","",IFERROR(INDEX(Listas!$E$2:$E$10,MATCH(B788,Listas!$D$2:$D$10,0)),"?"))</f>
        <v/>
      </c>
      <c r="D788" s="14" t="n"/>
      <c r="E788" s="14" t="n"/>
      <c r="F788" s="21">
        <f>IF(AND(D788="",E788=""),"",D788*60+E788)</f>
        <v/>
      </c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</row>
    <row r="789">
      <c r="A789" s="14" t="n"/>
      <c r="B789" s="14" t="n"/>
      <c r="C789" s="21">
        <f>IF(B789="","",IFERROR(INDEX(Listas!$E$2:$E$10,MATCH(B789,Listas!$D$2:$D$10,0)),"?"))</f>
        <v/>
      </c>
      <c r="D789" s="14" t="n"/>
      <c r="E789" s="14" t="n"/>
      <c r="F789" s="21">
        <f>IF(AND(D789="",E789=""),"",D789*60+E789)</f>
        <v/>
      </c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</row>
    <row r="790">
      <c r="A790" s="14" t="n"/>
      <c r="B790" s="14" t="n"/>
      <c r="C790" s="21">
        <f>IF(B790="","",IFERROR(INDEX(Listas!$E$2:$E$10,MATCH(B790,Listas!$D$2:$D$10,0)),"?"))</f>
        <v/>
      </c>
      <c r="D790" s="14" t="n"/>
      <c r="E790" s="14" t="n"/>
      <c r="F790" s="21">
        <f>IF(AND(D790="",E790=""),"",D790*60+E790)</f>
        <v/>
      </c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</row>
    <row r="791">
      <c r="A791" s="14" t="n"/>
      <c r="B791" s="14" t="n"/>
      <c r="C791" s="21">
        <f>IF(B791="","",IFERROR(INDEX(Listas!$E$2:$E$10,MATCH(B791,Listas!$D$2:$D$10,0)),"?"))</f>
        <v/>
      </c>
      <c r="D791" s="14" t="n"/>
      <c r="E791" s="14" t="n"/>
      <c r="F791" s="21">
        <f>IF(AND(D791="",E791=""),"",D791*60+E791)</f>
        <v/>
      </c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</row>
    <row r="792">
      <c r="A792" s="14" t="n"/>
      <c r="B792" s="14" t="n"/>
      <c r="C792" s="21">
        <f>IF(B792="","",IFERROR(INDEX(Listas!$E$2:$E$10,MATCH(B792,Listas!$D$2:$D$10,0)),"?"))</f>
        <v/>
      </c>
      <c r="D792" s="14" t="n"/>
      <c r="E792" s="14" t="n"/>
      <c r="F792" s="21">
        <f>IF(AND(D792="",E792=""),"",D792*60+E792)</f>
        <v/>
      </c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</row>
    <row r="793">
      <c r="A793" s="14" t="n"/>
      <c r="B793" s="14" t="n"/>
      <c r="C793" s="21">
        <f>IF(B793="","",IFERROR(INDEX(Listas!$E$2:$E$10,MATCH(B793,Listas!$D$2:$D$10,0)),"?"))</f>
        <v/>
      </c>
      <c r="D793" s="14" t="n"/>
      <c r="E793" s="14" t="n"/>
      <c r="F793" s="21">
        <f>IF(AND(D793="",E793=""),"",D793*60+E793)</f>
        <v/>
      </c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</row>
    <row r="794">
      <c r="A794" s="14" t="n"/>
      <c r="B794" s="14" t="n"/>
      <c r="C794" s="21">
        <f>IF(B794="","",IFERROR(INDEX(Listas!$E$2:$E$10,MATCH(B794,Listas!$D$2:$D$10,0)),"?"))</f>
        <v/>
      </c>
      <c r="D794" s="14" t="n"/>
      <c r="E794" s="14" t="n"/>
      <c r="F794" s="21">
        <f>IF(AND(D794="",E794=""),"",D794*60+E794)</f>
        <v/>
      </c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</row>
    <row r="795">
      <c r="A795" s="14" t="n"/>
      <c r="B795" s="14" t="n"/>
      <c r="C795" s="21">
        <f>IF(B795="","",IFERROR(INDEX(Listas!$E$2:$E$10,MATCH(B795,Listas!$D$2:$D$10,0)),"?"))</f>
        <v/>
      </c>
      <c r="D795" s="14" t="n"/>
      <c r="E795" s="14" t="n"/>
      <c r="F795" s="21">
        <f>IF(AND(D795="",E795=""),"",D795*60+E795)</f>
        <v/>
      </c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</row>
    <row r="796">
      <c r="A796" s="14" t="n"/>
      <c r="B796" s="14" t="n"/>
      <c r="C796" s="21">
        <f>IF(B796="","",IFERROR(INDEX(Listas!$E$2:$E$10,MATCH(B796,Listas!$D$2:$D$10,0)),"?"))</f>
        <v/>
      </c>
      <c r="D796" s="14" t="n"/>
      <c r="E796" s="14" t="n"/>
      <c r="F796" s="21">
        <f>IF(AND(D796="",E796=""),"",D796*60+E796)</f>
        <v/>
      </c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</row>
    <row r="797">
      <c r="A797" s="14" t="n"/>
      <c r="B797" s="14" t="n"/>
      <c r="C797" s="21">
        <f>IF(B797="","",IFERROR(INDEX(Listas!$E$2:$E$10,MATCH(B797,Listas!$D$2:$D$10,0)),"?"))</f>
        <v/>
      </c>
      <c r="D797" s="14" t="n"/>
      <c r="E797" s="14" t="n"/>
      <c r="F797" s="21">
        <f>IF(AND(D797="",E797=""),"",D797*60+E797)</f>
        <v/>
      </c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</row>
    <row r="798">
      <c r="A798" s="14" t="n"/>
      <c r="B798" s="14" t="n"/>
      <c r="C798" s="21">
        <f>IF(B798="","",IFERROR(INDEX(Listas!$E$2:$E$10,MATCH(B798,Listas!$D$2:$D$10,0)),"?"))</f>
        <v/>
      </c>
      <c r="D798" s="14" t="n"/>
      <c r="E798" s="14" t="n"/>
      <c r="F798" s="21">
        <f>IF(AND(D798="",E798=""),"",D798*60+E798)</f>
        <v/>
      </c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</row>
    <row r="799">
      <c r="A799" s="14" t="n"/>
      <c r="B799" s="14" t="n"/>
      <c r="C799" s="21">
        <f>IF(B799="","",IFERROR(INDEX(Listas!$E$2:$E$10,MATCH(B799,Listas!$D$2:$D$10,0)),"?"))</f>
        <v/>
      </c>
      <c r="D799" s="14" t="n"/>
      <c r="E799" s="14" t="n"/>
      <c r="F799" s="21">
        <f>IF(AND(D799="",E799=""),"",D799*60+E799)</f>
        <v/>
      </c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</row>
    <row r="800">
      <c r="A800" s="14" t="n"/>
      <c r="B800" s="14" t="n"/>
      <c r="C800" s="21">
        <f>IF(B800="","",IFERROR(INDEX(Listas!$E$2:$E$10,MATCH(B800,Listas!$D$2:$D$10,0)),"?"))</f>
        <v/>
      </c>
      <c r="D800" s="14" t="n"/>
      <c r="E800" s="14" t="n"/>
      <c r="F800" s="21">
        <f>IF(AND(D800="",E800=""),"",D800*60+E800)</f>
        <v/>
      </c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</row>
    <row r="801">
      <c r="A801" s="14" t="n"/>
      <c r="B801" s="14" t="n"/>
      <c r="C801" s="21">
        <f>IF(B801="","",IFERROR(INDEX(Listas!$E$2:$E$10,MATCH(B801,Listas!$D$2:$D$10,0)),"?"))</f>
        <v/>
      </c>
      <c r="D801" s="14" t="n"/>
      <c r="E801" s="14" t="n"/>
      <c r="F801" s="21">
        <f>IF(AND(D801="",E801=""),"",D801*60+E801)</f>
        <v/>
      </c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</row>
    <row r="802">
      <c r="A802" s="14" t="n"/>
      <c r="B802" s="14" t="n"/>
      <c r="C802" s="21">
        <f>IF(B802="","",IFERROR(INDEX(Listas!$E$2:$E$10,MATCH(B802,Listas!$D$2:$D$10,0)),"?"))</f>
        <v/>
      </c>
      <c r="D802" s="14" t="n"/>
      <c r="E802" s="14" t="n"/>
      <c r="F802" s="21">
        <f>IF(AND(D802="",E802=""),"",D802*60+E802)</f>
        <v/>
      </c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</row>
    <row r="803">
      <c r="A803" s="14" t="n"/>
      <c r="B803" s="14" t="n"/>
      <c r="C803" s="21">
        <f>IF(B803="","",IFERROR(INDEX(Listas!$E$2:$E$10,MATCH(B803,Listas!$D$2:$D$10,0)),"?"))</f>
        <v/>
      </c>
      <c r="D803" s="14" t="n"/>
      <c r="E803" s="14" t="n"/>
      <c r="F803" s="21">
        <f>IF(AND(D803="",E803=""),"",D803*60+E803)</f>
        <v/>
      </c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</row>
    <row r="804">
      <c r="A804" s="14" t="n"/>
      <c r="B804" s="14" t="n"/>
      <c r="C804" s="21">
        <f>IF(B804="","",IFERROR(INDEX(Listas!$E$2:$E$10,MATCH(B804,Listas!$D$2:$D$10,0)),"?"))</f>
        <v/>
      </c>
      <c r="D804" s="14" t="n"/>
      <c r="E804" s="14" t="n"/>
      <c r="F804" s="21">
        <f>IF(AND(D804="",E804=""),"",D804*60+E804)</f>
        <v/>
      </c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</row>
  </sheetData>
  <dataValidations count="7">
    <dataValidation sqref="G5:G804" showDropDown="0" showInputMessage="0" showErrorMessage="0" allowBlank="1" type="list">
      <formula1>=Listas!$G$2:$G$4</formula1>
    </dataValidation>
    <dataValidation sqref="L5:L804" showDropDown="0" showInputMessage="0" showErrorMessage="0" allowBlank="1" type="list">
      <formula1>=Listas!$H$2:$H$3</formula1>
    </dataValidation>
    <dataValidation sqref="M5:M804" showDropDown="0" showInputMessage="0" showErrorMessage="0" allowBlank="1" type="list">
      <formula1>=Listas!$I$2:$I$4</formula1>
    </dataValidation>
    <dataValidation sqref="H5:H804" showDropDown="0" showInputMessage="0" showErrorMessage="0" allowBlank="1" error="Use um número de 1 a 5." type="whole" operator="between">
      <formula1>1</formula1>
      <formula2>5</formula2>
    </dataValidation>
    <dataValidation sqref="E5:E804" showDropDown="0" showInputMessage="0" showErrorMessage="0" allowBlank="1" error="Use um número de 0 a 59." type="whole" operator="between">
      <formula1>0</formula1>
      <formula2>59</formula2>
    </dataValidation>
    <dataValidation sqref="D5:D804" showDropDown="0" showInputMessage="0" showErrorMessage="0" allowBlank="1" error="Use um número de 0 a 10." type="whole" operator="between">
      <formula1>0</formula1>
      <formula2>10</formula2>
    </dataValidation>
    <dataValidation sqref="O5:O804" showDropDown="0" showInputMessage="0" showErrorMessage="0" allowBlank="1" error="Use um número de 1 a 12." type="whole" operator="between">
      <formula1>1</formula1>
      <formula2>12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28" customWidth="1" min="4" max="4"/>
    <col width="28" customWidth="1" min="5" max="5"/>
    <col width="32" customWidth="1" min="6" max="6"/>
    <col width="34" customWidth="1" min="7" max="7"/>
    <col width="12" customWidth="1" min="8" max="8"/>
    <col width="14" customWidth="1" min="9" max="9"/>
    <col width="32" customWidth="1" min="10" max="10"/>
    <col width="36" customWidth="1" min="11" max="11"/>
    <col width="16" customWidth="1" min="12" max="12"/>
  </cols>
  <sheetData>
    <row r="1">
      <c r="A1" s="1" t="inlineStr">
        <is>
          <t>Perguntas do fim</t>
        </is>
      </c>
    </row>
    <row r="2">
      <c r="A2" s="6" t="inlineStr">
        <is>
          <t>Uma linha por pessoa. A nota de 0 a 10 alimenta o NPS no Resumo.</t>
        </is>
      </c>
    </row>
    <row r="4" ht="42" customHeight="1">
      <c r="A4" s="8" t="inlineStr">
        <is>
          <t>ID</t>
        </is>
      </c>
      <c r="B4" s="8" t="inlineStr">
        <is>
          <t>Grupo</t>
        </is>
      </c>
      <c r="C4" s="8" t="inlineStr">
        <is>
          <t>O mais fácil</t>
        </is>
      </c>
      <c r="D4" s="8" t="inlineStr">
        <is>
          <t>O mais difícil</t>
        </is>
      </c>
      <c r="E4" s="8" t="inlineStr">
        <is>
          <t>Palavras ou botões que não entendeu</t>
        </is>
      </c>
      <c r="F4" s="8" t="inlineStr">
        <is>
          <t>Usaria no dia a dia? Por quê</t>
        </is>
      </c>
      <c r="G4" s="8" t="inlineStr">
        <is>
          <t>Outras falas importantes</t>
        </is>
      </c>
      <c r="H4" s="8" t="inlineStr">
        <is>
          <t>Nota 0–10 (indicaria?)</t>
        </is>
      </c>
      <c r="I4" s="8" t="inlineStr">
        <is>
          <t>Confiaria no app sem internet?</t>
        </is>
      </c>
      <c r="J4" s="8" t="inlineStr">
        <is>
          <t>Por quê / faria o quê</t>
        </is>
      </c>
      <c r="K4" s="8" t="inlineStr">
        <is>
          <t>Pagaria por quais recursos</t>
        </is>
      </c>
      <c r="L4" s="8" t="inlineStr">
        <is>
          <t>Quanto pagaria por mês</t>
        </is>
      </c>
    </row>
    <row r="5">
      <c r="A5" s="14" t="inlineStr">
        <is>
          <t>F1</t>
        </is>
      </c>
      <c r="B5" s="14" t="inlineStr">
        <is>
          <t>Família</t>
        </is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4" t="inlineStr">
        <is>
          <t>F2</t>
        </is>
      </c>
      <c r="B6" s="14" t="inlineStr">
        <is>
          <t>Família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</row>
    <row r="7">
      <c r="A7" s="14" t="inlineStr">
        <is>
          <t>F3</t>
        </is>
      </c>
      <c r="B7" s="14" t="inlineStr">
        <is>
          <t>Família</t>
        </is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>
      <c r="A8" s="14" t="inlineStr">
        <is>
          <t>F4</t>
        </is>
      </c>
      <c r="B8" s="14" t="inlineStr">
        <is>
          <t>Família</t>
        </is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</row>
    <row r="9">
      <c r="A9" s="14" t="inlineStr">
        <is>
          <t>CU1</t>
        </is>
      </c>
      <c r="B9" s="14" t="inlineStr">
        <is>
          <t>Cuidadora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</row>
    <row r="10">
      <c r="A10" s="14" t="inlineStr">
        <is>
          <t>CU2</t>
        </is>
      </c>
      <c r="B10" s="14" t="inlineStr">
        <is>
          <t>Cuidadora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</row>
    <row r="11">
      <c r="A11" s="14" t="inlineStr">
        <is>
          <t>CU3</t>
        </is>
      </c>
      <c r="B11" s="14" t="inlineStr">
        <is>
          <t>Cuidadora</t>
        </is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</row>
  </sheetData>
  <dataValidations count="3">
    <dataValidation sqref="H5:H84" showDropDown="0" showInputMessage="0" showErrorMessage="0" allowBlank="1" error="Use um número de 0 a 10." type="whole" operator="between">
      <formula1>0</formula1>
      <formula2>10</formula2>
    </dataValidation>
    <dataValidation sqref="I5:I84" showDropDown="0" showInputMessage="0" showErrorMessage="0" allowBlank="1" type="list">
      <formula1>=Listas!$O$2:$O$4</formula1>
    </dataValidation>
    <dataValidation sqref="L5:L84" showDropDown="0" showInputMessage="0" showErrorMessage="0" allowBlank="1" type="list">
      <formula1>"Nada,Até R$ 10,De R$ 10 a 20,De R$ 20 a 40,Mais de R$ 40,Não sei"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40" customWidth="1" min="4" max="4"/>
    <col width="10" customWidth="1" min="5" max="5"/>
    <col width="11" customWidth="1" min="6" max="6"/>
    <col width="11" customWidth="1" min="7" max="7"/>
    <col width="18" customWidth="1" min="8" max="8"/>
    <col width="36" customWidth="1" min="9" max="9"/>
    <col width="14" customWidth="1" min="10" max="10"/>
    <col width="14" customWidth="1" min="11" max="11"/>
  </cols>
  <sheetData>
    <row r="1">
      <c r="A1" s="1" t="inlineStr">
        <is>
          <t>Problemas encontrados</t>
        </is>
      </c>
    </row>
    <row r="2">
      <c r="A2" s="6" t="inlineStr">
        <is>
          <t>Um problema por linha. Prioridade: problema do app visto por 2 ou mais pessoas vem primeiro.</t>
        </is>
      </c>
    </row>
    <row r="4" ht="42" customHeight="1">
      <c r="A4" s="8" t="inlineStr">
        <is>
          <t>#</t>
        </is>
      </c>
      <c r="B4" s="8" t="inlineStr">
        <is>
          <t>Tarefa ou tela</t>
        </is>
      </c>
      <c r="C4" s="8" t="inlineStr">
        <is>
          <t>Grupo</t>
        </is>
      </c>
      <c r="D4" s="8" t="inlineStr">
        <is>
          <t>O que aconteceu</t>
        </is>
      </c>
      <c r="E4" s="8" t="inlineStr">
        <is>
          <t>Quantas pessoas</t>
        </is>
      </c>
      <c r="F4" s="8" t="inlineStr">
        <is>
          <t>Tipo</t>
        </is>
      </c>
      <c r="G4" s="8" t="inlineStr">
        <is>
          <t>Gravidade</t>
        </is>
      </c>
      <c r="H4" s="8" t="inlineStr">
        <is>
          <t>Prioridade</t>
        </is>
      </c>
      <c r="I4" s="8" t="inlineStr">
        <is>
          <t>Ideia de correção</t>
        </is>
      </c>
      <c r="J4" s="8" t="inlineStr">
        <is>
          <t>Responsável</t>
        </is>
      </c>
      <c r="K4" s="8" t="inlineStr">
        <is>
          <t>Status</t>
        </is>
      </c>
    </row>
    <row r="5">
      <c r="A5" s="21">
        <f>IF(D5="","",ROW()-4)</f>
        <v/>
      </c>
      <c r="B5" s="14" t="n"/>
      <c r="C5" s="14" t="n"/>
      <c r="D5" s="14" t="n"/>
      <c r="E5" s="14" t="n"/>
      <c r="F5" s="14" t="n"/>
      <c r="G5" s="14" t="n"/>
      <c r="H5" s="21">
        <f>IF(D5="","",IF(F5="Protótipo","Ajustar o protótipo",IF(AND(E5&gt;=2,G5="Alta"),"Corrigir primeiro",IF(E5&gt;=2,"Corrigir",IF(G5="Alta","Investigar","Observar")))))</f>
        <v/>
      </c>
      <c r="I5" s="14" t="n"/>
      <c r="J5" s="14" t="n"/>
      <c r="K5" s="14" t="n"/>
    </row>
    <row r="6">
      <c r="A6" s="21">
        <f>IF(D6="","",ROW()-4)</f>
        <v/>
      </c>
      <c r="B6" s="14" t="n"/>
      <c r="C6" s="14" t="n"/>
      <c r="D6" s="14" t="n"/>
      <c r="E6" s="14" t="n"/>
      <c r="F6" s="14" t="n"/>
      <c r="G6" s="14" t="n"/>
      <c r="H6" s="21">
        <f>IF(D6="","",IF(F6="Protótipo","Ajustar o protótipo",IF(AND(E6&gt;=2,G6="Alta"),"Corrigir primeiro",IF(E6&gt;=2,"Corrigir",IF(G6="Alta","Investigar","Observar")))))</f>
        <v/>
      </c>
      <c r="I6" s="14" t="n"/>
      <c r="J6" s="14" t="n"/>
      <c r="K6" s="14" t="n"/>
    </row>
    <row r="7">
      <c r="A7" s="21">
        <f>IF(D7="","",ROW()-4)</f>
        <v/>
      </c>
      <c r="B7" s="14" t="n"/>
      <c r="C7" s="14" t="n"/>
      <c r="D7" s="14" t="n"/>
      <c r="E7" s="14" t="n"/>
      <c r="F7" s="14" t="n"/>
      <c r="G7" s="14" t="n"/>
      <c r="H7" s="21">
        <f>IF(D7="","",IF(F7="Protótipo","Ajustar o protótipo",IF(AND(E7&gt;=2,G7="Alta"),"Corrigir primeiro",IF(E7&gt;=2,"Corrigir",IF(G7="Alta","Investigar","Observar")))))</f>
        <v/>
      </c>
      <c r="I7" s="14" t="n"/>
      <c r="J7" s="14" t="n"/>
      <c r="K7" s="14" t="n"/>
    </row>
    <row r="8">
      <c r="A8" s="21">
        <f>IF(D8="","",ROW()-4)</f>
        <v/>
      </c>
      <c r="B8" s="14" t="n"/>
      <c r="C8" s="14" t="n"/>
      <c r="D8" s="14" t="n"/>
      <c r="E8" s="14" t="n"/>
      <c r="F8" s="14" t="n"/>
      <c r="G8" s="14" t="n"/>
      <c r="H8" s="21">
        <f>IF(D8="","",IF(F8="Protótipo","Ajustar o protótipo",IF(AND(E8&gt;=2,G8="Alta"),"Corrigir primeiro",IF(E8&gt;=2,"Corrigir",IF(G8="Alta","Investigar","Observar")))))</f>
        <v/>
      </c>
      <c r="I8" s="14" t="n"/>
      <c r="J8" s="14" t="n"/>
      <c r="K8" s="14" t="n"/>
    </row>
    <row r="9">
      <c r="A9" s="21">
        <f>IF(D9="","",ROW()-4)</f>
        <v/>
      </c>
      <c r="B9" s="14" t="n"/>
      <c r="C9" s="14" t="n"/>
      <c r="D9" s="14" t="n"/>
      <c r="E9" s="14" t="n"/>
      <c r="F9" s="14" t="n"/>
      <c r="G9" s="14" t="n"/>
      <c r="H9" s="21">
        <f>IF(D9="","",IF(F9="Protótipo","Ajustar o protótipo",IF(AND(E9&gt;=2,G9="Alta"),"Corrigir primeiro",IF(E9&gt;=2,"Corrigir",IF(G9="Alta","Investigar","Observar")))))</f>
        <v/>
      </c>
      <c r="I9" s="14" t="n"/>
      <c r="J9" s="14" t="n"/>
      <c r="K9" s="14" t="n"/>
    </row>
    <row r="10">
      <c r="A10" s="21">
        <f>IF(D10="","",ROW()-4)</f>
        <v/>
      </c>
      <c r="B10" s="14" t="n"/>
      <c r="C10" s="14" t="n"/>
      <c r="D10" s="14" t="n"/>
      <c r="E10" s="14" t="n"/>
      <c r="F10" s="14" t="n"/>
      <c r="G10" s="14" t="n"/>
      <c r="H10" s="21">
        <f>IF(D10="","",IF(F10="Protótipo","Ajustar o protótipo",IF(AND(E10&gt;=2,G10="Alta"),"Corrigir primeiro",IF(E10&gt;=2,"Corrigir",IF(G10="Alta","Investigar","Observar")))))</f>
        <v/>
      </c>
      <c r="I10" s="14" t="n"/>
      <c r="J10" s="14" t="n"/>
      <c r="K10" s="14" t="n"/>
    </row>
    <row r="11">
      <c r="A11" s="21">
        <f>IF(D11="","",ROW()-4)</f>
        <v/>
      </c>
      <c r="B11" s="14" t="n"/>
      <c r="C11" s="14" t="n"/>
      <c r="D11" s="14" t="n"/>
      <c r="E11" s="14" t="n"/>
      <c r="F11" s="14" t="n"/>
      <c r="G11" s="14" t="n"/>
      <c r="H11" s="21">
        <f>IF(D11="","",IF(F11="Protótipo","Ajustar o protótipo",IF(AND(E11&gt;=2,G11="Alta"),"Corrigir primeiro",IF(E11&gt;=2,"Corrigir",IF(G11="Alta","Investigar","Observar")))))</f>
        <v/>
      </c>
      <c r="I11" s="14" t="n"/>
      <c r="J11" s="14" t="n"/>
      <c r="K11" s="14" t="n"/>
    </row>
    <row r="12">
      <c r="A12" s="21">
        <f>IF(D12="","",ROW()-4)</f>
        <v/>
      </c>
      <c r="B12" s="14" t="n"/>
      <c r="C12" s="14" t="n"/>
      <c r="D12" s="14" t="n"/>
      <c r="E12" s="14" t="n"/>
      <c r="F12" s="14" t="n"/>
      <c r="G12" s="14" t="n"/>
      <c r="H12" s="21">
        <f>IF(D12="","",IF(F12="Protótipo","Ajustar o protótipo",IF(AND(E12&gt;=2,G12="Alta"),"Corrigir primeiro",IF(E12&gt;=2,"Corrigir",IF(G12="Alta","Investigar","Observar")))))</f>
        <v/>
      </c>
      <c r="I12" s="14" t="n"/>
      <c r="J12" s="14" t="n"/>
      <c r="K12" s="14" t="n"/>
    </row>
    <row r="13">
      <c r="A13" s="21">
        <f>IF(D13="","",ROW()-4)</f>
        <v/>
      </c>
      <c r="B13" s="14" t="n"/>
      <c r="C13" s="14" t="n"/>
      <c r="D13" s="14" t="n"/>
      <c r="E13" s="14" t="n"/>
      <c r="F13" s="14" t="n"/>
      <c r="G13" s="14" t="n"/>
      <c r="H13" s="21">
        <f>IF(D13="","",IF(F13="Protótipo","Ajustar o protótipo",IF(AND(E13&gt;=2,G13="Alta"),"Corrigir primeiro",IF(E13&gt;=2,"Corrigir",IF(G13="Alta","Investigar","Observar")))))</f>
        <v/>
      </c>
      <c r="I13" s="14" t="n"/>
      <c r="J13" s="14" t="n"/>
      <c r="K13" s="14" t="n"/>
    </row>
    <row r="14">
      <c r="A14" s="21">
        <f>IF(D14="","",ROW()-4)</f>
        <v/>
      </c>
      <c r="B14" s="14" t="n"/>
      <c r="C14" s="14" t="n"/>
      <c r="D14" s="14" t="n"/>
      <c r="E14" s="14" t="n"/>
      <c r="F14" s="14" t="n"/>
      <c r="G14" s="14" t="n"/>
      <c r="H14" s="21">
        <f>IF(D14="","",IF(F14="Protótipo","Ajustar o protótipo",IF(AND(E14&gt;=2,G14="Alta"),"Corrigir primeiro",IF(E14&gt;=2,"Corrigir",IF(G14="Alta","Investigar","Observar")))))</f>
        <v/>
      </c>
      <c r="I14" s="14" t="n"/>
      <c r="J14" s="14" t="n"/>
      <c r="K14" s="14" t="n"/>
    </row>
    <row r="15">
      <c r="A15" s="21">
        <f>IF(D15="","",ROW()-4)</f>
        <v/>
      </c>
      <c r="B15" s="14" t="n"/>
      <c r="C15" s="14" t="n"/>
      <c r="D15" s="14" t="n"/>
      <c r="E15" s="14" t="n"/>
      <c r="F15" s="14" t="n"/>
      <c r="G15" s="14" t="n"/>
      <c r="H15" s="21">
        <f>IF(D15="","",IF(F15="Protótipo","Ajustar o protótipo",IF(AND(E15&gt;=2,G15="Alta"),"Corrigir primeiro",IF(E15&gt;=2,"Corrigir",IF(G15="Alta","Investigar","Observar")))))</f>
        <v/>
      </c>
      <c r="I15" s="14" t="n"/>
      <c r="J15" s="14" t="n"/>
      <c r="K15" s="14" t="n"/>
    </row>
    <row r="16">
      <c r="A16" s="21">
        <f>IF(D16="","",ROW()-4)</f>
        <v/>
      </c>
      <c r="B16" s="14" t="n"/>
      <c r="C16" s="14" t="n"/>
      <c r="D16" s="14" t="n"/>
      <c r="E16" s="14" t="n"/>
      <c r="F16" s="14" t="n"/>
      <c r="G16" s="14" t="n"/>
      <c r="H16" s="21">
        <f>IF(D16="","",IF(F16="Protótipo","Ajustar o protótipo",IF(AND(E16&gt;=2,G16="Alta"),"Corrigir primeiro",IF(E16&gt;=2,"Corrigir",IF(G16="Alta","Investigar","Observar")))))</f>
        <v/>
      </c>
      <c r="I16" s="14" t="n"/>
      <c r="J16" s="14" t="n"/>
      <c r="K16" s="14" t="n"/>
    </row>
    <row r="17">
      <c r="A17" s="21">
        <f>IF(D17="","",ROW()-4)</f>
        <v/>
      </c>
      <c r="B17" s="14" t="n"/>
      <c r="C17" s="14" t="n"/>
      <c r="D17" s="14" t="n"/>
      <c r="E17" s="14" t="n"/>
      <c r="F17" s="14" t="n"/>
      <c r="G17" s="14" t="n"/>
      <c r="H17" s="21">
        <f>IF(D17="","",IF(F17="Protótipo","Ajustar o protótipo",IF(AND(E17&gt;=2,G17="Alta"),"Corrigir primeiro",IF(E17&gt;=2,"Corrigir",IF(G17="Alta","Investigar","Observar")))))</f>
        <v/>
      </c>
      <c r="I17" s="14" t="n"/>
      <c r="J17" s="14" t="n"/>
      <c r="K17" s="14" t="n"/>
    </row>
    <row r="18">
      <c r="A18" s="21">
        <f>IF(D18="","",ROW()-4)</f>
        <v/>
      </c>
      <c r="B18" s="14" t="n"/>
      <c r="C18" s="14" t="n"/>
      <c r="D18" s="14" t="n"/>
      <c r="E18" s="14" t="n"/>
      <c r="F18" s="14" t="n"/>
      <c r="G18" s="14" t="n"/>
      <c r="H18" s="21">
        <f>IF(D18="","",IF(F18="Protótipo","Ajustar o protótipo",IF(AND(E18&gt;=2,G18="Alta"),"Corrigir primeiro",IF(E18&gt;=2,"Corrigir",IF(G18="Alta","Investigar","Observar")))))</f>
        <v/>
      </c>
      <c r="I18" s="14" t="n"/>
      <c r="J18" s="14" t="n"/>
      <c r="K18" s="14" t="n"/>
    </row>
    <row r="19">
      <c r="A19" s="21">
        <f>IF(D19="","",ROW()-4)</f>
        <v/>
      </c>
      <c r="B19" s="14" t="n"/>
      <c r="C19" s="14" t="n"/>
      <c r="D19" s="14" t="n"/>
      <c r="E19" s="14" t="n"/>
      <c r="F19" s="14" t="n"/>
      <c r="G19" s="14" t="n"/>
      <c r="H19" s="21">
        <f>IF(D19="","",IF(F19="Protótipo","Ajustar o protótipo",IF(AND(E19&gt;=2,G19="Alta"),"Corrigir primeiro",IF(E19&gt;=2,"Corrigir",IF(G19="Alta","Investigar","Observar")))))</f>
        <v/>
      </c>
      <c r="I19" s="14" t="n"/>
      <c r="J19" s="14" t="n"/>
      <c r="K19" s="14" t="n"/>
    </row>
    <row r="20">
      <c r="A20" s="21">
        <f>IF(D20="","",ROW()-4)</f>
        <v/>
      </c>
      <c r="B20" s="14" t="n"/>
      <c r="C20" s="14" t="n"/>
      <c r="D20" s="14" t="n"/>
      <c r="E20" s="14" t="n"/>
      <c r="F20" s="14" t="n"/>
      <c r="G20" s="14" t="n"/>
      <c r="H20" s="21">
        <f>IF(D20="","",IF(F20="Protótipo","Ajustar o protótipo",IF(AND(E20&gt;=2,G20="Alta"),"Corrigir primeiro",IF(E20&gt;=2,"Corrigir",IF(G20="Alta","Investigar","Observar")))))</f>
        <v/>
      </c>
      <c r="I20" s="14" t="n"/>
      <c r="J20" s="14" t="n"/>
      <c r="K20" s="14" t="n"/>
    </row>
    <row r="21">
      <c r="A21" s="21">
        <f>IF(D21="","",ROW()-4)</f>
        <v/>
      </c>
      <c r="B21" s="14" t="n"/>
      <c r="C21" s="14" t="n"/>
      <c r="D21" s="14" t="n"/>
      <c r="E21" s="14" t="n"/>
      <c r="F21" s="14" t="n"/>
      <c r="G21" s="14" t="n"/>
      <c r="H21" s="21">
        <f>IF(D21="","",IF(F21="Protótipo","Ajustar o protótipo",IF(AND(E21&gt;=2,G21="Alta"),"Corrigir primeiro",IF(E21&gt;=2,"Corrigir",IF(G21="Alta","Investigar","Observar")))))</f>
        <v/>
      </c>
      <c r="I21" s="14" t="n"/>
      <c r="J21" s="14" t="n"/>
      <c r="K21" s="14" t="n"/>
    </row>
    <row r="22">
      <c r="A22" s="21">
        <f>IF(D22="","",ROW()-4)</f>
        <v/>
      </c>
      <c r="B22" s="14" t="n"/>
      <c r="C22" s="14" t="n"/>
      <c r="D22" s="14" t="n"/>
      <c r="E22" s="14" t="n"/>
      <c r="F22" s="14" t="n"/>
      <c r="G22" s="14" t="n"/>
      <c r="H22" s="21">
        <f>IF(D22="","",IF(F22="Protótipo","Ajustar o protótipo",IF(AND(E22&gt;=2,G22="Alta"),"Corrigir primeiro",IF(E22&gt;=2,"Corrigir",IF(G22="Alta","Investigar","Observar")))))</f>
        <v/>
      </c>
      <c r="I22" s="14" t="n"/>
      <c r="J22" s="14" t="n"/>
      <c r="K22" s="14" t="n"/>
    </row>
    <row r="23">
      <c r="A23" s="21">
        <f>IF(D23="","",ROW()-4)</f>
        <v/>
      </c>
      <c r="B23" s="14" t="n"/>
      <c r="C23" s="14" t="n"/>
      <c r="D23" s="14" t="n"/>
      <c r="E23" s="14" t="n"/>
      <c r="F23" s="14" t="n"/>
      <c r="G23" s="14" t="n"/>
      <c r="H23" s="21">
        <f>IF(D23="","",IF(F23="Protótipo","Ajustar o protótipo",IF(AND(E23&gt;=2,G23="Alta"),"Corrigir primeiro",IF(E23&gt;=2,"Corrigir",IF(G23="Alta","Investigar","Observar")))))</f>
        <v/>
      </c>
      <c r="I23" s="14" t="n"/>
      <c r="J23" s="14" t="n"/>
      <c r="K23" s="14" t="n"/>
    </row>
    <row r="24">
      <c r="A24" s="21">
        <f>IF(D24="","",ROW()-4)</f>
        <v/>
      </c>
      <c r="B24" s="14" t="n"/>
      <c r="C24" s="14" t="n"/>
      <c r="D24" s="14" t="n"/>
      <c r="E24" s="14" t="n"/>
      <c r="F24" s="14" t="n"/>
      <c r="G24" s="14" t="n"/>
      <c r="H24" s="21">
        <f>IF(D24="","",IF(F24="Protótipo","Ajustar o protótipo",IF(AND(E24&gt;=2,G24="Alta"),"Corrigir primeiro",IF(E24&gt;=2,"Corrigir",IF(G24="Alta","Investigar","Observar")))))</f>
        <v/>
      </c>
      <c r="I24" s="14" t="n"/>
      <c r="J24" s="14" t="n"/>
      <c r="K24" s="14" t="n"/>
    </row>
    <row r="25">
      <c r="A25" s="21">
        <f>IF(D25="","",ROW()-4)</f>
        <v/>
      </c>
      <c r="B25" s="14" t="n"/>
      <c r="C25" s="14" t="n"/>
      <c r="D25" s="14" t="n"/>
      <c r="E25" s="14" t="n"/>
      <c r="F25" s="14" t="n"/>
      <c r="G25" s="14" t="n"/>
      <c r="H25" s="21">
        <f>IF(D25="","",IF(F25="Protótipo","Ajustar o protótipo",IF(AND(E25&gt;=2,G25="Alta"),"Corrigir primeiro",IF(E25&gt;=2,"Corrigir",IF(G25="Alta","Investigar","Observar")))))</f>
        <v/>
      </c>
      <c r="I25" s="14" t="n"/>
      <c r="J25" s="14" t="n"/>
      <c r="K25" s="14" t="n"/>
    </row>
    <row r="26">
      <c r="A26" s="21">
        <f>IF(D26="","",ROW()-4)</f>
        <v/>
      </c>
      <c r="B26" s="14" t="n"/>
      <c r="C26" s="14" t="n"/>
      <c r="D26" s="14" t="n"/>
      <c r="E26" s="14" t="n"/>
      <c r="F26" s="14" t="n"/>
      <c r="G26" s="14" t="n"/>
      <c r="H26" s="21">
        <f>IF(D26="","",IF(F26="Protótipo","Ajustar o protótipo",IF(AND(E26&gt;=2,G26="Alta"),"Corrigir primeiro",IF(E26&gt;=2,"Corrigir",IF(G26="Alta","Investigar","Observar")))))</f>
        <v/>
      </c>
      <c r="I26" s="14" t="n"/>
      <c r="J26" s="14" t="n"/>
      <c r="K26" s="14" t="n"/>
    </row>
    <row r="27">
      <c r="A27" s="21">
        <f>IF(D27="","",ROW()-4)</f>
        <v/>
      </c>
      <c r="B27" s="14" t="n"/>
      <c r="C27" s="14" t="n"/>
      <c r="D27" s="14" t="n"/>
      <c r="E27" s="14" t="n"/>
      <c r="F27" s="14" t="n"/>
      <c r="G27" s="14" t="n"/>
      <c r="H27" s="21">
        <f>IF(D27="","",IF(F27="Protótipo","Ajustar o protótipo",IF(AND(E27&gt;=2,G27="Alta"),"Corrigir primeiro",IF(E27&gt;=2,"Corrigir",IF(G27="Alta","Investigar","Observar")))))</f>
        <v/>
      </c>
      <c r="I27" s="14" t="n"/>
      <c r="J27" s="14" t="n"/>
      <c r="K27" s="14" t="n"/>
    </row>
    <row r="28">
      <c r="A28" s="21">
        <f>IF(D28="","",ROW()-4)</f>
        <v/>
      </c>
      <c r="B28" s="14" t="n"/>
      <c r="C28" s="14" t="n"/>
      <c r="D28" s="14" t="n"/>
      <c r="E28" s="14" t="n"/>
      <c r="F28" s="14" t="n"/>
      <c r="G28" s="14" t="n"/>
      <c r="H28" s="21">
        <f>IF(D28="","",IF(F28="Protótipo","Ajustar o protótipo",IF(AND(E28&gt;=2,G28="Alta"),"Corrigir primeiro",IF(E28&gt;=2,"Corrigir",IF(G28="Alta","Investigar","Observar")))))</f>
        <v/>
      </c>
      <c r="I28" s="14" t="n"/>
      <c r="J28" s="14" t="n"/>
      <c r="K28" s="14" t="n"/>
    </row>
    <row r="29">
      <c r="A29" s="21">
        <f>IF(D29="","",ROW()-4)</f>
        <v/>
      </c>
      <c r="B29" s="14" t="n"/>
      <c r="C29" s="14" t="n"/>
      <c r="D29" s="14" t="n"/>
      <c r="E29" s="14" t="n"/>
      <c r="F29" s="14" t="n"/>
      <c r="G29" s="14" t="n"/>
      <c r="H29" s="21">
        <f>IF(D29="","",IF(F29="Protótipo","Ajustar o protótipo",IF(AND(E29&gt;=2,G29="Alta"),"Corrigir primeiro",IF(E29&gt;=2,"Corrigir",IF(G29="Alta","Investigar","Observar")))))</f>
        <v/>
      </c>
      <c r="I29" s="14" t="n"/>
      <c r="J29" s="14" t="n"/>
      <c r="K29" s="14" t="n"/>
    </row>
    <row r="30">
      <c r="A30" s="21">
        <f>IF(D30="","",ROW()-4)</f>
        <v/>
      </c>
      <c r="B30" s="14" t="n"/>
      <c r="C30" s="14" t="n"/>
      <c r="D30" s="14" t="n"/>
      <c r="E30" s="14" t="n"/>
      <c r="F30" s="14" t="n"/>
      <c r="G30" s="14" t="n"/>
      <c r="H30" s="21">
        <f>IF(D30="","",IF(F30="Protótipo","Ajustar o protótipo",IF(AND(E30&gt;=2,G30="Alta"),"Corrigir primeiro",IF(E30&gt;=2,"Corrigir",IF(G30="Alta","Investigar","Observar")))))</f>
        <v/>
      </c>
      <c r="I30" s="14" t="n"/>
      <c r="J30" s="14" t="n"/>
      <c r="K30" s="14" t="n"/>
    </row>
    <row r="31">
      <c r="A31" s="21">
        <f>IF(D31="","",ROW()-4)</f>
        <v/>
      </c>
      <c r="B31" s="14" t="n"/>
      <c r="C31" s="14" t="n"/>
      <c r="D31" s="14" t="n"/>
      <c r="E31" s="14" t="n"/>
      <c r="F31" s="14" t="n"/>
      <c r="G31" s="14" t="n"/>
      <c r="H31" s="21">
        <f>IF(D31="","",IF(F31="Protótipo","Ajustar o protótipo",IF(AND(E31&gt;=2,G31="Alta"),"Corrigir primeiro",IF(E31&gt;=2,"Corrigir",IF(G31="Alta","Investigar","Observar")))))</f>
        <v/>
      </c>
      <c r="I31" s="14" t="n"/>
      <c r="J31" s="14" t="n"/>
      <c r="K31" s="14" t="n"/>
    </row>
    <row r="32">
      <c r="A32" s="21">
        <f>IF(D32="","",ROW()-4)</f>
        <v/>
      </c>
      <c r="B32" s="14" t="n"/>
      <c r="C32" s="14" t="n"/>
      <c r="D32" s="14" t="n"/>
      <c r="E32" s="14" t="n"/>
      <c r="F32" s="14" t="n"/>
      <c r="G32" s="14" t="n"/>
      <c r="H32" s="21">
        <f>IF(D32="","",IF(F32="Protótipo","Ajustar o protótipo",IF(AND(E32&gt;=2,G32="Alta"),"Corrigir primeiro",IF(E32&gt;=2,"Corrigir",IF(G32="Alta","Investigar","Observar")))))</f>
        <v/>
      </c>
      <c r="I32" s="14" t="n"/>
      <c r="J32" s="14" t="n"/>
      <c r="K32" s="14" t="n"/>
    </row>
    <row r="33">
      <c r="A33" s="21">
        <f>IF(D33="","",ROW()-4)</f>
        <v/>
      </c>
      <c r="B33" s="14" t="n"/>
      <c r="C33" s="14" t="n"/>
      <c r="D33" s="14" t="n"/>
      <c r="E33" s="14" t="n"/>
      <c r="F33" s="14" t="n"/>
      <c r="G33" s="14" t="n"/>
      <c r="H33" s="21">
        <f>IF(D33="","",IF(F33="Protótipo","Ajustar o protótipo",IF(AND(E33&gt;=2,G33="Alta"),"Corrigir primeiro",IF(E33&gt;=2,"Corrigir",IF(G33="Alta","Investigar","Observar")))))</f>
        <v/>
      </c>
      <c r="I33" s="14" t="n"/>
      <c r="J33" s="14" t="n"/>
      <c r="K33" s="14" t="n"/>
    </row>
    <row r="34">
      <c r="A34" s="21">
        <f>IF(D34="","",ROW()-4)</f>
        <v/>
      </c>
      <c r="B34" s="14" t="n"/>
      <c r="C34" s="14" t="n"/>
      <c r="D34" s="14" t="n"/>
      <c r="E34" s="14" t="n"/>
      <c r="F34" s="14" t="n"/>
      <c r="G34" s="14" t="n"/>
      <c r="H34" s="21">
        <f>IF(D34="","",IF(F34="Protótipo","Ajustar o protótipo",IF(AND(E34&gt;=2,G34="Alta"),"Corrigir primeiro",IF(E34&gt;=2,"Corrigir",IF(G34="Alta","Investigar","Observar")))))</f>
        <v/>
      </c>
      <c r="I34" s="14" t="n"/>
      <c r="J34" s="14" t="n"/>
      <c r="K34" s="14" t="n"/>
    </row>
    <row r="35">
      <c r="A35" s="21">
        <f>IF(D35="","",ROW()-4)</f>
        <v/>
      </c>
      <c r="B35" s="14" t="n"/>
      <c r="C35" s="14" t="n"/>
      <c r="D35" s="14" t="n"/>
      <c r="E35" s="14" t="n"/>
      <c r="F35" s="14" t="n"/>
      <c r="G35" s="14" t="n"/>
      <c r="H35" s="21">
        <f>IF(D35="","",IF(F35="Protótipo","Ajustar o protótipo",IF(AND(E35&gt;=2,G35="Alta"),"Corrigir primeiro",IF(E35&gt;=2,"Corrigir",IF(G35="Alta","Investigar","Observar")))))</f>
        <v/>
      </c>
      <c r="I35" s="14" t="n"/>
      <c r="J35" s="14" t="n"/>
      <c r="K35" s="14" t="n"/>
    </row>
    <row r="36">
      <c r="A36" s="21">
        <f>IF(D36="","",ROW()-4)</f>
        <v/>
      </c>
      <c r="B36" s="14" t="n"/>
      <c r="C36" s="14" t="n"/>
      <c r="D36" s="14" t="n"/>
      <c r="E36" s="14" t="n"/>
      <c r="F36" s="14" t="n"/>
      <c r="G36" s="14" t="n"/>
      <c r="H36" s="21">
        <f>IF(D36="","",IF(F36="Protótipo","Ajustar o protótipo",IF(AND(E36&gt;=2,G36="Alta"),"Corrigir primeiro",IF(E36&gt;=2,"Corrigir",IF(G36="Alta","Investigar","Observar")))))</f>
        <v/>
      </c>
      <c r="I36" s="14" t="n"/>
      <c r="J36" s="14" t="n"/>
      <c r="K36" s="14" t="n"/>
    </row>
    <row r="37">
      <c r="A37" s="21">
        <f>IF(D37="","",ROW()-4)</f>
        <v/>
      </c>
      <c r="B37" s="14" t="n"/>
      <c r="C37" s="14" t="n"/>
      <c r="D37" s="14" t="n"/>
      <c r="E37" s="14" t="n"/>
      <c r="F37" s="14" t="n"/>
      <c r="G37" s="14" t="n"/>
      <c r="H37" s="21">
        <f>IF(D37="","",IF(F37="Protótipo","Ajustar o protótipo",IF(AND(E37&gt;=2,G37="Alta"),"Corrigir primeiro",IF(E37&gt;=2,"Corrigir",IF(G37="Alta","Investigar","Observar")))))</f>
        <v/>
      </c>
      <c r="I37" s="14" t="n"/>
      <c r="J37" s="14" t="n"/>
      <c r="K37" s="14" t="n"/>
    </row>
    <row r="38">
      <c r="A38" s="21">
        <f>IF(D38="","",ROW()-4)</f>
        <v/>
      </c>
      <c r="B38" s="14" t="n"/>
      <c r="C38" s="14" t="n"/>
      <c r="D38" s="14" t="n"/>
      <c r="E38" s="14" t="n"/>
      <c r="F38" s="14" t="n"/>
      <c r="G38" s="14" t="n"/>
      <c r="H38" s="21">
        <f>IF(D38="","",IF(F38="Protótipo","Ajustar o protótipo",IF(AND(E38&gt;=2,G38="Alta"),"Corrigir primeiro",IF(E38&gt;=2,"Corrigir",IF(G38="Alta","Investigar","Observar")))))</f>
        <v/>
      </c>
      <c r="I38" s="14" t="n"/>
      <c r="J38" s="14" t="n"/>
      <c r="K38" s="14" t="n"/>
    </row>
    <row r="39">
      <c r="A39" s="21">
        <f>IF(D39="","",ROW()-4)</f>
        <v/>
      </c>
      <c r="B39" s="14" t="n"/>
      <c r="C39" s="14" t="n"/>
      <c r="D39" s="14" t="n"/>
      <c r="E39" s="14" t="n"/>
      <c r="F39" s="14" t="n"/>
      <c r="G39" s="14" t="n"/>
      <c r="H39" s="21">
        <f>IF(D39="","",IF(F39="Protótipo","Ajustar o protótipo",IF(AND(E39&gt;=2,G39="Alta"),"Corrigir primeiro",IF(E39&gt;=2,"Corrigir",IF(G39="Alta","Investigar","Observar")))))</f>
        <v/>
      </c>
      <c r="I39" s="14" t="n"/>
      <c r="J39" s="14" t="n"/>
      <c r="K39" s="14" t="n"/>
    </row>
    <row r="40">
      <c r="A40" s="21">
        <f>IF(D40="","",ROW()-4)</f>
        <v/>
      </c>
      <c r="B40" s="14" t="n"/>
      <c r="C40" s="14" t="n"/>
      <c r="D40" s="14" t="n"/>
      <c r="E40" s="14" t="n"/>
      <c r="F40" s="14" t="n"/>
      <c r="G40" s="14" t="n"/>
      <c r="H40" s="21">
        <f>IF(D40="","",IF(F40="Protótipo","Ajustar o protótipo",IF(AND(E40&gt;=2,G40="Alta"),"Corrigir primeiro",IF(E40&gt;=2,"Corrigir",IF(G40="Alta","Investigar","Observar")))))</f>
        <v/>
      </c>
      <c r="I40" s="14" t="n"/>
      <c r="J40" s="14" t="n"/>
      <c r="K40" s="14" t="n"/>
    </row>
    <row r="41">
      <c r="A41" s="21">
        <f>IF(D41="","",ROW()-4)</f>
        <v/>
      </c>
      <c r="B41" s="14" t="n"/>
      <c r="C41" s="14" t="n"/>
      <c r="D41" s="14" t="n"/>
      <c r="E41" s="14" t="n"/>
      <c r="F41" s="14" t="n"/>
      <c r="G41" s="14" t="n"/>
      <c r="H41" s="21">
        <f>IF(D41="","",IF(F41="Protótipo","Ajustar o protótipo",IF(AND(E41&gt;=2,G41="Alta"),"Corrigir primeiro",IF(E41&gt;=2,"Corrigir",IF(G41="Alta","Investigar","Observar")))))</f>
        <v/>
      </c>
      <c r="I41" s="14" t="n"/>
      <c r="J41" s="14" t="n"/>
      <c r="K41" s="14" t="n"/>
    </row>
    <row r="42">
      <c r="A42" s="21">
        <f>IF(D42="","",ROW()-4)</f>
        <v/>
      </c>
      <c r="B42" s="14" t="n"/>
      <c r="C42" s="14" t="n"/>
      <c r="D42" s="14" t="n"/>
      <c r="E42" s="14" t="n"/>
      <c r="F42" s="14" t="n"/>
      <c r="G42" s="14" t="n"/>
      <c r="H42" s="21">
        <f>IF(D42="","",IF(F42="Protótipo","Ajustar o protótipo",IF(AND(E42&gt;=2,G42="Alta"),"Corrigir primeiro",IF(E42&gt;=2,"Corrigir",IF(G42="Alta","Investigar","Observar")))))</f>
        <v/>
      </c>
      <c r="I42" s="14" t="n"/>
      <c r="J42" s="14" t="n"/>
      <c r="K42" s="14" t="n"/>
    </row>
    <row r="43">
      <c r="A43" s="21">
        <f>IF(D43="","",ROW()-4)</f>
        <v/>
      </c>
      <c r="B43" s="14" t="n"/>
      <c r="C43" s="14" t="n"/>
      <c r="D43" s="14" t="n"/>
      <c r="E43" s="14" t="n"/>
      <c r="F43" s="14" t="n"/>
      <c r="G43" s="14" t="n"/>
      <c r="H43" s="21">
        <f>IF(D43="","",IF(F43="Protótipo","Ajustar o protótipo",IF(AND(E43&gt;=2,G43="Alta"),"Corrigir primeiro",IF(E43&gt;=2,"Corrigir",IF(G43="Alta","Investigar","Observar")))))</f>
        <v/>
      </c>
      <c r="I43" s="14" t="n"/>
      <c r="J43" s="14" t="n"/>
      <c r="K43" s="14" t="n"/>
    </row>
    <row r="44">
      <c r="A44" s="21">
        <f>IF(D44="","",ROW()-4)</f>
        <v/>
      </c>
      <c r="B44" s="14" t="n"/>
      <c r="C44" s="14" t="n"/>
      <c r="D44" s="14" t="n"/>
      <c r="E44" s="14" t="n"/>
      <c r="F44" s="14" t="n"/>
      <c r="G44" s="14" t="n"/>
      <c r="H44" s="21">
        <f>IF(D44="","",IF(F44="Protótipo","Ajustar o protótipo",IF(AND(E44&gt;=2,G44="Alta"),"Corrigir primeiro",IF(E44&gt;=2,"Corrigir",IF(G44="Alta","Investigar","Observar")))))</f>
        <v/>
      </c>
      <c r="I44" s="14" t="n"/>
      <c r="J44" s="14" t="n"/>
      <c r="K44" s="14" t="n"/>
    </row>
    <row r="45">
      <c r="A45" s="21">
        <f>IF(D45="","",ROW()-4)</f>
        <v/>
      </c>
      <c r="B45" s="14" t="n"/>
      <c r="C45" s="14" t="n"/>
      <c r="D45" s="14" t="n"/>
      <c r="E45" s="14" t="n"/>
      <c r="F45" s="14" t="n"/>
      <c r="G45" s="14" t="n"/>
      <c r="H45" s="21">
        <f>IF(D45="","",IF(F45="Protótipo","Ajustar o protótipo",IF(AND(E45&gt;=2,G45="Alta"),"Corrigir primeiro",IF(E45&gt;=2,"Corrigir",IF(G45="Alta","Investigar","Observar")))))</f>
        <v/>
      </c>
      <c r="I45" s="14" t="n"/>
      <c r="J45" s="14" t="n"/>
      <c r="K45" s="14" t="n"/>
    </row>
    <row r="46">
      <c r="A46" s="21">
        <f>IF(D46="","",ROW()-4)</f>
        <v/>
      </c>
      <c r="B46" s="14" t="n"/>
      <c r="C46" s="14" t="n"/>
      <c r="D46" s="14" t="n"/>
      <c r="E46" s="14" t="n"/>
      <c r="F46" s="14" t="n"/>
      <c r="G46" s="14" t="n"/>
      <c r="H46" s="21">
        <f>IF(D46="","",IF(F46="Protótipo","Ajustar o protótipo",IF(AND(E46&gt;=2,G46="Alta"),"Corrigir primeiro",IF(E46&gt;=2,"Corrigir",IF(G46="Alta","Investigar","Observar")))))</f>
        <v/>
      </c>
      <c r="I46" s="14" t="n"/>
      <c r="J46" s="14" t="n"/>
      <c r="K46" s="14" t="n"/>
    </row>
    <row r="47">
      <c r="A47" s="21">
        <f>IF(D47="","",ROW()-4)</f>
        <v/>
      </c>
      <c r="B47" s="14" t="n"/>
      <c r="C47" s="14" t="n"/>
      <c r="D47" s="14" t="n"/>
      <c r="E47" s="14" t="n"/>
      <c r="F47" s="14" t="n"/>
      <c r="G47" s="14" t="n"/>
      <c r="H47" s="21">
        <f>IF(D47="","",IF(F47="Protótipo","Ajustar o protótipo",IF(AND(E47&gt;=2,G47="Alta"),"Corrigir primeiro",IF(E47&gt;=2,"Corrigir",IF(G47="Alta","Investigar","Observar")))))</f>
        <v/>
      </c>
      <c r="I47" s="14" t="n"/>
      <c r="J47" s="14" t="n"/>
      <c r="K47" s="14" t="n"/>
    </row>
    <row r="48">
      <c r="A48" s="21">
        <f>IF(D48="","",ROW()-4)</f>
        <v/>
      </c>
      <c r="B48" s="14" t="n"/>
      <c r="C48" s="14" t="n"/>
      <c r="D48" s="14" t="n"/>
      <c r="E48" s="14" t="n"/>
      <c r="F48" s="14" t="n"/>
      <c r="G48" s="14" t="n"/>
      <c r="H48" s="21">
        <f>IF(D48="","",IF(F48="Protótipo","Ajustar o protótipo",IF(AND(E48&gt;=2,G48="Alta"),"Corrigir primeiro",IF(E48&gt;=2,"Corrigir",IF(G48="Alta","Investigar","Observar")))))</f>
        <v/>
      </c>
      <c r="I48" s="14" t="n"/>
      <c r="J48" s="14" t="n"/>
      <c r="K48" s="14" t="n"/>
    </row>
    <row r="49">
      <c r="A49" s="21">
        <f>IF(D49="","",ROW()-4)</f>
        <v/>
      </c>
      <c r="B49" s="14" t="n"/>
      <c r="C49" s="14" t="n"/>
      <c r="D49" s="14" t="n"/>
      <c r="E49" s="14" t="n"/>
      <c r="F49" s="14" t="n"/>
      <c r="G49" s="14" t="n"/>
      <c r="H49" s="21">
        <f>IF(D49="","",IF(F49="Protótipo","Ajustar o protótipo",IF(AND(E49&gt;=2,G49="Alta"),"Corrigir primeiro",IF(E49&gt;=2,"Corrigir",IF(G49="Alta","Investigar","Observar")))))</f>
        <v/>
      </c>
      <c r="I49" s="14" t="n"/>
      <c r="J49" s="14" t="n"/>
      <c r="K49" s="14" t="n"/>
    </row>
    <row r="50">
      <c r="A50" s="21">
        <f>IF(D50="","",ROW()-4)</f>
        <v/>
      </c>
      <c r="B50" s="14" t="n"/>
      <c r="C50" s="14" t="n"/>
      <c r="D50" s="14" t="n"/>
      <c r="E50" s="14" t="n"/>
      <c r="F50" s="14" t="n"/>
      <c r="G50" s="14" t="n"/>
      <c r="H50" s="21">
        <f>IF(D50="","",IF(F50="Protótipo","Ajustar o protótipo",IF(AND(E50&gt;=2,G50="Alta"),"Corrigir primeiro",IF(E50&gt;=2,"Corrigir",IF(G50="Alta","Investigar","Observar")))))</f>
        <v/>
      </c>
      <c r="I50" s="14" t="n"/>
      <c r="J50" s="14" t="n"/>
      <c r="K50" s="14" t="n"/>
    </row>
    <row r="51">
      <c r="A51" s="21">
        <f>IF(D51="","",ROW()-4)</f>
        <v/>
      </c>
      <c r="B51" s="14" t="n"/>
      <c r="C51" s="14" t="n"/>
      <c r="D51" s="14" t="n"/>
      <c r="E51" s="14" t="n"/>
      <c r="F51" s="14" t="n"/>
      <c r="G51" s="14" t="n"/>
      <c r="H51" s="21">
        <f>IF(D51="","",IF(F51="Protótipo","Ajustar o protótipo",IF(AND(E51&gt;=2,G51="Alta"),"Corrigir primeiro",IF(E51&gt;=2,"Corrigir",IF(G51="Alta","Investigar","Observar")))))</f>
        <v/>
      </c>
      <c r="I51" s="14" t="n"/>
      <c r="J51" s="14" t="n"/>
      <c r="K51" s="14" t="n"/>
    </row>
    <row r="52">
      <c r="A52" s="21">
        <f>IF(D52="","",ROW()-4)</f>
        <v/>
      </c>
      <c r="B52" s="14" t="n"/>
      <c r="C52" s="14" t="n"/>
      <c r="D52" s="14" t="n"/>
      <c r="E52" s="14" t="n"/>
      <c r="F52" s="14" t="n"/>
      <c r="G52" s="14" t="n"/>
      <c r="H52" s="21">
        <f>IF(D52="","",IF(F52="Protótipo","Ajustar o protótipo",IF(AND(E52&gt;=2,G52="Alta"),"Corrigir primeiro",IF(E52&gt;=2,"Corrigir",IF(G52="Alta","Investigar","Observar")))))</f>
        <v/>
      </c>
      <c r="I52" s="14" t="n"/>
      <c r="J52" s="14" t="n"/>
      <c r="K52" s="14" t="n"/>
    </row>
    <row r="53">
      <c r="A53" s="21">
        <f>IF(D53="","",ROW()-4)</f>
        <v/>
      </c>
      <c r="B53" s="14" t="n"/>
      <c r="C53" s="14" t="n"/>
      <c r="D53" s="14" t="n"/>
      <c r="E53" s="14" t="n"/>
      <c r="F53" s="14" t="n"/>
      <c r="G53" s="14" t="n"/>
      <c r="H53" s="21">
        <f>IF(D53="","",IF(F53="Protótipo","Ajustar o protótipo",IF(AND(E53&gt;=2,G53="Alta"),"Corrigir primeiro",IF(E53&gt;=2,"Corrigir",IF(G53="Alta","Investigar","Observar")))))</f>
        <v/>
      </c>
      <c r="I53" s="14" t="n"/>
      <c r="J53" s="14" t="n"/>
      <c r="K53" s="14" t="n"/>
    </row>
    <row r="54">
      <c r="A54" s="21">
        <f>IF(D54="","",ROW()-4)</f>
        <v/>
      </c>
      <c r="B54" s="14" t="n"/>
      <c r="C54" s="14" t="n"/>
      <c r="D54" s="14" t="n"/>
      <c r="E54" s="14" t="n"/>
      <c r="F54" s="14" t="n"/>
      <c r="G54" s="14" t="n"/>
      <c r="H54" s="21">
        <f>IF(D54="","",IF(F54="Protótipo","Ajustar o protótipo",IF(AND(E54&gt;=2,G54="Alta"),"Corrigir primeiro",IF(E54&gt;=2,"Corrigir",IF(G54="Alta","Investigar","Observar")))))</f>
        <v/>
      </c>
      <c r="I54" s="14" t="n"/>
      <c r="J54" s="14" t="n"/>
      <c r="K54" s="14" t="n"/>
    </row>
    <row r="55">
      <c r="A55" s="21">
        <f>IF(D55="","",ROW()-4)</f>
        <v/>
      </c>
      <c r="B55" s="14" t="n"/>
      <c r="C55" s="14" t="n"/>
      <c r="D55" s="14" t="n"/>
      <c r="E55" s="14" t="n"/>
      <c r="F55" s="14" t="n"/>
      <c r="G55" s="14" t="n"/>
      <c r="H55" s="21">
        <f>IF(D55="","",IF(F55="Protótipo","Ajustar o protótipo",IF(AND(E55&gt;=2,G55="Alta"),"Corrigir primeiro",IF(E55&gt;=2,"Corrigir",IF(G55="Alta","Investigar","Observar")))))</f>
        <v/>
      </c>
      <c r="I55" s="14" t="n"/>
      <c r="J55" s="14" t="n"/>
      <c r="K55" s="14" t="n"/>
    </row>
    <row r="56">
      <c r="A56" s="21">
        <f>IF(D56="","",ROW()-4)</f>
        <v/>
      </c>
      <c r="B56" s="14" t="n"/>
      <c r="C56" s="14" t="n"/>
      <c r="D56" s="14" t="n"/>
      <c r="E56" s="14" t="n"/>
      <c r="F56" s="14" t="n"/>
      <c r="G56" s="14" t="n"/>
      <c r="H56" s="21">
        <f>IF(D56="","",IF(F56="Protótipo","Ajustar o protótipo",IF(AND(E56&gt;=2,G56="Alta"),"Corrigir primeiro",IF(E56&gt;=2,"Corrigir",IF(G56="Alta","Investigar","Observar")))))</f>
        <v/>
      </c>
      <c r="I56" s="14" t="n"/>
      <c r="J56" s="14" t="n"/>
      <c r="K56" s="14" t="n"/>
    </row>
    <row r="57">
      <c r="A57" s="21">
        <f>IF(D57="","",ROW()-4)</f>
        <v/>
      </c>
      <c r="B57" s="14" t="n"/>
      <c r="C57" s="14" t="n"/>
      <c r="D57" s="14" t="n"/>
      <c r="E57" s="14" t="n"/>
      <c r="F57" s="14" t="n"/>
      <c r="G57" s="14" t="n"/>
      <c r="H57" s="21">
        <f>IF(D57="","",IF(F57="Protótipo","Ajustar o protótipo",IF(AND(E57&gt;=2,G57="Alta"),"Corrigir primeiro",IF(E57&gt;=2,"Corrigir",IF(G57="Alta","Investigar","Observar")))))</f>
        <v/>
      </c>
      <c r="I57" s="14" t="n"/>
      <c r="J57" s="14" t="n"/>
      <c r="K57" s="14" t="n"/>
    </row>
    <row r="58">
      <c r="A58" s="21">
        <f>IF(D58="","",ROW()-4)</f>
        <v/>
      </c>
      <c r="B58" s="14" t="n"/>
      <c r="C58" s="14" t="n"/>
      <c r="D58" s="14" t="n"/>
      <c r="E58" s="14" t="n"/>
      <c r="F58" s="14" t="n"/>
      <c r="G58" s="14" t="n"/>
      <c r="H58" s="21">
        <f>IF(D58="","",IF(F58="Protótipo","Ajustar o protótipo",IF(AND(E58&gt;=2,G58="Alta"),"Corrigir primeiro",IF(E58&gt;=2,"Corrigir",IF(G58="Alta","Investigar","Observar")))))</f>
        <v/>
      </c>
      <c r="I58" s="14" t="n"/>
      <c r="J58" s="14" t="n"/>
      <c r="K58" s="14" t="n"/>
    </row>
    <row r="59">
      <c r="A59" s="21">
        <f>IF(D59="","",ROW()-4)</f>
        <v/>
      </c>
      <c r="B59" s="14" t="n"/>
      <c r="C59" s="14" t="n"/>
      <c r="D59" s="14" t="n"/>
      <c r="E59" s="14" t="n"/>
      <c r="F59" s="14" t="n"/>
      <c r="G59" s="14" t="n"/>
      <c r="H59" s="21">
        <f>IF(D59="","",IF(F59="Protótipo","Ajustar o protótipo",IF(AND(E59&gt;=2,G59="Alta"),"Corrigir primeiro",IF(E59&gt;=2,"Corrigir",IF(G59="Alta","Investigar","Observar")))))</f>
        <v/>
      </c>
      <c r="I59" s="14" t="n"/>
      <c r="J59" s="14" t="n"/>
      <c r="K59" s="14" t="n"/>
    </row>
    <row r="60">
      <c r="A60" s="21">
        <f>IF(D60="","",ROW()-4)</f>
        <v/>
      </c>
      <c r="B60" s="14" t="n"/>
      <c r="C60" s="14" t="n"/>
      <c r="D60" s="14" t="n"/>
      <c r="E60" s="14" t="n"/>
      <c r="F60" s="14" t="n"/>
      <c r="G60" s="14" t="n"/>
      <c r="H60" s="21">
        <f>IF(D60="","",IF(F60="Protótipo","Ajustar o protótipo",IF(AND(E60&gt;=2,G60="Alta"),"Corrigir primeiro",IF(E60&gt;=2,"Corrigir",IF(G60="Alta","Investigar","Observar")))))</f>
        <v/>
      </c>
      <c r="I60" s="14" t="n"/>
      <c r="J60" s="14" t="n"/>
      <c r="K60" s="14" t="n"/>
    </row>
    <row r="61">
      <c r="A61" s="21">
        <f>IF(D61="","",ROW()-4)</f>
        <v/>
      </c>
      <c r="B61" s="14" t="n"/>
      <c r="C61" s="14" t="n"/>
      <c r="D61" s="14" t="n"/>
      <c r="E61" s="14" t="n"/>
      <c r="F61" s="14" t="n"/>
      <c r="G61" s="14" t="n"/>
      <c r="H61" s="21">
        <f>IF(D61="","",IF(F61="Protótipo","Ajustar o protótipo",IF(AND(E61&gt;=2,G61="Alta"),"Corrigir primeiro",IF(E61&gt;=2,"Corrigir",IF(G61="Alta","Investigar","Observar")))))</f>
        <v/>
      </c>
      <c r="I61" s="14" t="n"/>
      <c r="J61" s="14" t="n"/>
      <c r="K61" s="14" t="n"/>
    </row>
    <row r="62">
      <c r="A62" s="21">
        <f>IF(D62="","",ROW()-4)</f>
        <v/>
      </c>
      <c r="B62" s="14" t="n"/>
      <c r="C62" s="14" t="n"/>
      <c r="D62" s="14" t="n"/>
      <c r="E62" s="14" t="n"/>
      <c r="F62" s="14" t="n"/>
      <c r="G62" s="14" t="n"/>
      <c r="H62" s="21">
        <f>IF(D62="","",IF(F62="Protótipo","Ajustar o protótipo",IF(AND(E62&gt;=2,G62="Alta"),"Corrigir primeiro",IF(E62&gt;=2,"Corrigir",IF(G62="Alta","Investigar","Observar")))))</f>
        <v/>
      </c>
      <c r="I62" s="14" t="n"/>
      <c r="J62" s="14" t="n"/>
      <c r="K62" s="14" t="n"/>
    </row>
    <row r="63">
      <c r="A63" s="21">
        <f>IF(D63="","",ROW()-4)</f>
        <v/>
      </c>
      <c r="B63" s="14" t="n"/>
      <c r="C63" s="14" t="n"/>
      <c r="D63" s="14" t="n"/>
      <c r="E63" s="14" t="n"/>
      <c r="F63" s="14" t="n"/>
      <c r="G63" s="14" t="n"/>
      <c r="H63" s="21">
        <f>IF(D63="","",IF(F63="Protótipo","Ajustar o protótipo",IF(AND(E63&gt;=2,G63="Alta"),"Corrigir primeiro",IF(E63&gt;=2,"Corrigir",IF(G63="Alta","Investigar","Observar")))))</f>
        <v/>
      </c>
      <c r="I63" s="14" t="n"/>
      <c r="J63" s="14" t="n"/>
      <c r="K63" s="14" t="n"/>
    </row>
    <row r="64">
      <c r="A64" s="21">
        <f>IF(D64="","",ROW()-4)</f>
        <v/>
      </c>
      <c r="B64" s="14" t="n"/>
      <c r="C64" s="14" t="n"/>
      <c r="D64" s="14" t="n"/>
      <c r="E64" s="14" t="n"/>
      <c r="F64" s="14" t="n"/>
      <c r="G64" s="14" t="n"/>
      <c r="H64" s="21">
        <f>IF(D64="","",IF(F64="Protótipo","Ajustar o protótipo",IF(AND(E64&gt;=2,G64="Alta"),"Corrigir primeiro",IF(E64&gt;=2,"Corrigir",IF(G64="Alta","Investigar","Observar")))))</f>
        <v/>
      </c>
      <c r="I64" s="14" t="n"/>
      <c r="J64" s="14" t="n"/>
      <c r="K64" s="14" t="n"/>
    </row>
  </sheetData>
  <dataValidations count="4">
    <dataValidation sqref="F5:F64" showDropDown="0" showInputMessage="0" showErrorMessage="0" allowBlank="1" type="list">
      <formula1>=Listas!$H$2:$H$3</formula1>
    </dataValidation>
    <dataValidation sqref="G5:G64" showDropDown="0" showInputMessage="0" showErrorMessage="0" allowBlank="1" type="list">
      <formula1>=Listas!$I$2:$I$4</formula1>
    </dataValidation>
    <dataValidation sqref="K5:K64" showDropDown="0" showInputMessage="0" showErrorMessage="0" allowBlank="1" type="list">
      <formula1>=Listas!$L$2:$L$5</formula1>
    </dataValidation>
    <dataValidation sqref="E5:E64" showDropDown="0" showInputMessage="0" showErrorMessage="0" allowBlank="1" error="Use um número de 1 a 20." type="whole" operator="between">
      <formula1>1</formula1>
      <formula2>20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2026-10-31T15:51:07Z</dcterms:created>
  <dcterms:modified xmlns:dcterms="http://purl.org/dc/terms/" xmlns:xsi="http://www.w3.org/2001/XMLSchema-instance" xsi:type="dcterms:W3CDTF">2026-10-31T15:51:08Z</dcterms:modified>
</cp:coreProperties>
</file>